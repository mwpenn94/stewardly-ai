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ospects" sheetId="2" state="visible" r:id="rId4"/>
    <sheet name="By_Segment" sheetId="3" state="visible" r:id="rId5"/>
    <sheet name="By_GeoTier" sheetId="4" state="visible" r:id="rId6"/>
    <sheet name="Field_Reference" sheetId="5" state="visible" r:id="rId7"/>
  </sheets>
  <definedNames>
    <definedName function="false" hidden="true" localSheetId="1" name="_xlnm._FilterDatabase" vbProcedure="false">Prospects!$A$1:$AB$961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<sst xmlns="http://schemas.openxmlformats.org/spreadsheetml/2006/main" count="11195" uniqueCount="3131">
  <si>
    <t xml:space="preserve">WealthBridge Prospect Database v5</t>
  </si>
  <si>
    <t xml:space="preserve">Generated</t>
  </si>
  <si>
    <t xml:space="preserve">2026-04-15 00:59</t>
  </si>
  <si>
    <t xml:space="preserve">Version</t>
  </si>
  <si>
    <t xml:space="preserve">v5.0</t>
  </si>
  <si>
    <t xml:space="preserve">Owner</t>
  </si>
  <si>
    <t xml:space="preserve">WealthBridge Financial Group / AZ Region 1</t>
  </si>
  <si>
    <t xml:space="preserve">Description</t>
  </si>
  <si>
    <t xml:space="preserve">Master feature table for propensity scoring. One row per unique owner across all geographies (AZ/NM/WA/US/Global). Matches v4 identity columns and extends with propensity score, geo tier, and Phase 1 model outputs.</t>
  </si>
  <si>
    <t xml:space="preserve">Schema</t>
  </si>
  <si>
    <t xml:space="preserve">Sheets: README · Prospects (full) · By_Segment · By_GeoTier · Field_Reference</t>
  </si>
  <si>
    <t xml:space="preserve">Changes from v4</t>
  </si>
  <si>
    <t xml:space="preserve">•</t>
  </si>
  <si>
    <t xml:space="preserve">Added propensity_score, propensity_decile, propensity_tier columns</t>
  </si>
  <si>
    <t xml:space="preserve">Added geo_tier (T1–T5) and priority_multiplier</t>
  </si>
  <si>
    <t xml:space="preserve">Added phase1_proba and phase1_decile (populated once model trained)</t>
  </si>
  <si>
    <t xml:space="preserve">Added multi_property_count (computed across county files)</t>
  </si>
  <si>
    <t xml:space="preserve">Added fips + last_scored_date audit columns</t>
  </si>
  <si>
    <t xml:space="preserve">owner_key is now the primary join key (was owner_name in v4)</t>
  </si>
  <si>
    <t xml:space="preserve">Owner Key (hashed)</t>
  </si>
  <si>
    <t xml:space="preserve">Segment</t>
  </si>
  <si>
    <t xml:space="preserve">Owner Name</t>
  </si>
  <si>
    <t xml:space="preserve">Entity Type (Commercial)</t>
  </si>
  <si>
    <t xml:space="preserve">Property Address</t>
  </si>
  <si>
    <t xml:space="preserve">City</t>
  </si>
  <si>
    <t xml:space="preserve">State</t>
  </si>
  <si>
    <t xml:space="preserve">County</t>
  </si>
  <si>
    <t xml:space="preserve">ZIP</t>
  </si>
  <si>
    <t xml:space="preserve">County FIPS</t>
  </si>
  <si>
    <t xml:space="preserve">Phone</t>
  </si>
  <si>
    <t xml:space="preserve">Email</t>
  </si>
  <si>
    <t xml:space="preserve">Market Value ($)</t>
  </si>
  <si>
    <t xml:space="preserve">Est. Equity ($)</t>
  </si>
  <si>
    <t xml:space="preserve">Ownership (yrs)</t>
  </si>
  <si>
    <t xml:space="preserve">Owner Age</t>
  </si>
  <si>
    <t xml:space="preserve">Entity Age (yrs)</t>
  </si>
  <si>
    <t xml:space="preserve">Multi-Property Count</t>
  </si>
  <si>
    <t xml:space="preserve">Revenue Proxy ($)</t>
  </si>
  <si>
    <t xml:space="preserve">Propensity Score (0-100)</t>
  </si>
  <si>
    <t xml:space="preserve">Decile (1=top)</t>
  </si>
  <si>
    <t xml:space="preserve">Tier (A-D)</t>
  </si>
  <si>
    <t xml:space="preserve">Geo Priority ×</t>
  </si>
  <si>
    <t xml:space="preserve">Phase 1 Probability</t>
  </si>
  <si>
    <t xml:space="preserve">Phase 1 Decile</t>
  </si>
  <si>
    <t xml:space="preserve">Geo Tier</t>
  </si>
  <si>
    <t xml:space="preserve">Source File</t>
  </si>
  <si>
    <t xml:space="preserve">Last Scored</t>
  </si>
  <si>
    <t xml:space="preserve">AZ_PIM_Res_0000</t>
  </si>
  <si>
    <t xml:space="preserve">Residential</t>
  </si>
  <si>
    <t xml:space="preserve">Owner AZ 1</t>
  </si>
  <si>
    <t xml:space="preserve">9086 Main St</t>
  </si>
  <si>
    <t xml:space="preserve">Pima</t>
  </si>
  <si>
    <t xml:space="preserve">AZ</t>
  </si>
  <si>
    <t xml:space="preserve">PIMA</t>
  </si>
  <si>
    <t xml:space="preserve">82305</t>
  </si>
  <si>
    <t xml:space="preserve">C</t>
  </si>
  <si>
    <t xml:space="preserve">tier_1_home_az</t>
  </si>
  <si>
    <t xml:space="preserve">WB_Residential_Pima_County_AZ.csv</t>
  </si>
  <si>
    <t xml:space="preserve">AZ_PIM_Res_0001</t>
  </si>
  <si>
    <t xml:space="preserve">Owner AZ 2</t>
  </si>
  <si>
    <t xml:space="preserve">5514 Main St</t>
  </si>
  <si>
    <t xml:space="preserve">84513</t>
  </si>
  <si>
    <t xml:space="preserve">A</t>
  </si>
  <si>
    <t xml:space="preserve">AZ_PIM_Res_0002</t>
  </si>
  <si>
    <t xml:space="preserve">Owner AZ 3</t>
  </si>
  <si>
    <t xml:space="preserve">9565 Main St</t>
  </si>
  <si>
    <t xml:space="preserve">94150</t>
  </si>
  <si>
    <t xml:space="preserve">AZ_PIM_Res_0003</t>
  </si>
  <si>
    <t xml:space="preserve">Owner AZ 4</t>
  </si>
  <si>
    <t xml:space="preserve">9604 Main St</t>
  </si>
  <si>
    <t xml:space="preserve">91558</t>
  </si>
  <si>
    <t xml:space="preserve">AZ_PIM_Res_0004</t>
  </si>
  <si>
    <t xml:space="preserve">Owner AZ 5</t>
  </si>
  <si>
    <t xml:space="preserve">8097 Main St</t>
  </si>
  <si>
    <t xml:space="preserve">91970</t>
  </si>
  <si>
    <t xml:space="preserve">AZ_PIM_Res_0005</t>
  </si>
  <si>
    <t xml:space="preserve">Owner AZ 6</t>
  </si>
  <si>
    <t xml:space="preserve">6744 Main St</t>
  </si>
  <si>
    <t xml:space="preserve">84284</t>
  </si>
  <si>
    <t xml:space="preserve">AZ_PIM_Res_0006</t>
  </si>
  <si>
    <t xml:space="preserve">Owner AZ 7</t>
  </si>
  <si>
    <t xml:space="preserve">7301 Main St</t>
  </si>
  <si>
    <t xml:space="preserve">97173</t>
  </si>
  <si>
    <t xml:space="preserve">B</t>
  </si>
  <si>
    <t xml:space="preserve">AZ_PIM_Res_0007</t>
  </si>
  <si>
    <t xml:space="preserve">Owner AZ 8</t>
  </si>
  <si>
    <t xml:space="preserve">5824 Main St</t>
  </si>
  <si>
    <t xml:space="preserve">89311</t>
  </si>
  <si>
    <t xml:space="preserve">AZ_PIM_Res_0008</t>
  </si>
  <si>
    <t xml:space="preserve">Owner AZ 9</t>
  </si>
  <si>
    <t xml:space="preserve">5317 Main St</t>
  </si>
  <si>
    <t xml:space="preserve">82137</t>
  </si>
  <si>
    <t xml:space="preserve">D</t>
  </si>
  <si>
    <t xml:space="preserve">AZ_PIM_Res_0009</t>
  </si>
  <si>
    <t xml:space="preserve">Owner AZ 10</t>
  </si>
  <si>
    <t xml:space="preserve">4158 Main St</t>
  </si>
  <si>
    <t xml:space="preserve">83120</t>
  </si>
  <si>
    <t xml:space="preserve">AZ_PIM_Res_0010</t>
  </si>
  <si>
    <t xml:space="preserve">Owner AZ 11</t>
  </si>
  <si>
    <t xml:space="preserve">8589 Main St</t>
  </si>
  <si>
    <t xml:space="preserve">96431</t>
  </si>
  <si>
    <t xml:space="preserve">AZ_PIM_Res_0011</t>
  </si>
  <si>
    <t xml:space="preserve">Owner AZ 12</t>
  </si>
  <si>
    <t xml:space="preserve">2993 Main St</t>
  </si>
  <si>
    <t xml:space="preserve">91894</t>
  </si>
  <si>
    <t xml:space="preserve">AZ_PIM_Res_0012</t>
  </si>
  <si>
    <t xml:space="preserve">Owner AZ 13</t>
  </si>
  <si>
    <t xml:space="preserve">5840 Main St</t>
  </si>
  <si>
    <t xml:space="preserve">82214</t>
  </si>
  <si>
    <t xml:space="preserve">AZ_PIM_Res_0013</t>
  </si>
  <si>
    <t xml:space="preserve">Owner AZ 14</t>
  </si>
  <si>
    <t xml:space="preserve">550 Main St</t>
  </si>
  <si>
    <t xml:space="preserve">99033</t>
  </si>
  <si>
    <t xml:space="preserve">AZ_PIM_Res_0014</t>
  </si>
  <si>
    <t xml:space="preserve">Owner AZ 15</t>
  </si>
  <si>
    <t xml:space="preserve">1419 Main St</t>
  </si>
  <si>
    <t xml:space="preserve">85903</t>
  </si>
  <si>
    <t xml:space="preserve">AZ_PIM_Res_0015</t>
  </si>
  <si>
    <t xml:space="preserve">Owner AZ 16</t>
  </si>
  <si>
    <t xml:space="preserve">3120 Main St</t>
  </si>
  <si>
    <t xml:space="preserve">98740</t>
  </si>
  <si>
    <t xml:space="preserve">AZ_PIM_Res_0016</t>
  </si>
  <si>
    <t xml:space="preserve">Owner AZ 17</t>
  </si>
  <si>
    <t xml:space="preserve">3350 Main St</t>
  </si>
  <si>
    <t xml:space="preserve">85454</t>
  </si>
  <si>
    <t xml:space="preserve">AZ_PIM_Res_0017</t>
  </si>
  <si>
    <t xml:space="preserve">Owner AZ 18</t>
  </si>
  <si>
    <t xml:space="preserve">1122 Main St</t>
  </si>
  <si>
    <t xml:space="preserve">96838</t>
  </si>
  <si>
    <t xml:space="preserve">AZ_PIM_Res_0018</t>
  </si>
  <si>
    <t xml:space="preserve">Owner AZ 19</t>
  </si>
  <si>
    <t xml:space="preserve">4265 Main St</t>
  </si>
  <si>
    <t xml:space="preserve">93600</t>
  </si>
  <si>
    <t xml:space="preserve">AZ_PIM_Res_0019</t>
  </si>
  <si>
    <t xml:space="preserve">Owner AZ 20</t>
  </si>
  <si>
    <t xml:space="preserve">4958 Main St</t>
  </si>
  <si>
    <t xml:space="preserve">86744</t>
  </si>
  <si>
    <t xml:space="preserve">AZ_PIM_Res_0020</t>
  </si>
  <si>
    <t xml:space="preserve">Owner AZ 21</t>
  </si>
  <si>
    <t xml:space="preserve">6038 Main St</t>
  </si>
  <si>
    <t xml:space="preserve">98205</t>
  </si>
  <si>
    <t xml:space="preserve">AZ_PIM_Res_0021</t>
  </si>
  <si>
    <t xml:space="preserve">Owner AZ 22</t>
  </si>
  <si>
    <t xml:space="preserve">8997 Main St</t>
  </si>
  <si>
    <t xml:space="preserve">80618</t>
  </si>
  <si>
    <t xml:space="preserve">AZ_PIM_Res_0022</t>
  </si>
  <si>
    <t xml:space="preserve">Owner AZ 23</t>
  </si>
  <si>
    <t xml:space="preserve">4836 Main St</t>
  </si>
  <si>
    <t xml:space="preserve">96341</t>
  </si>
  <si>
    <t xml:space="preserve">AZ_PIM_Res_0023</t>
  </si>
  <si>
    <t xml:space="preserve">Owner AZ 24</t>
  </si>
  <si>
    <t xml:space="preserve">8399 Main St</t>
  </si>
  <si>
    <t xml:space="preserve">85904</t>
  </si>
  <si>
    <t xml:space="preserve">AZ_PIM_Res_0024</t>
  </si>
  <si>
    <t xml:space="preserve">Owner AZ 25</t>
  </si>
  <si>
    <t xml:space="preserve">6223 Main St</t>
  </si>
  <si>
    <t xml:space="preserve">92490</t>
  </si>
  <si>
    <t xml:space="preserve">AZ_PIM_Res_0025</t>
  </si>
  <si>
    <t xml:space="preserve">Owner AZ 26</t>
  </si>
  <si>
    <t xml:space="preserve">1877 Main St</t>
  </si>
  <si>
    <t xml:space="preserve">84584</t>
  </si>
  <si>
    <t xml:space="preserve">AZ_PIM_Res_0026</t>
  </si>
  <si>
    <t xml:space="preserve">Owner AZ 27</t>
  </si>
  <si>
    <t xml:space="preserve">1763 Main St</t>
  </si>
  <si>
    <t xml:space="preserve">82916</t>
  </si>
  <si>
    <t xml:space="preserve">AZ_PIM_Res_0027</t>
  </si>
  <si>
    <t xml:space="preserve">Owner AZ 28</t>
  </si>
  <si>
    <t xml:space="preserve">570 Main St</t>
  </si>
  <si>
    <t xml:space="preserve">81624</t>
  </si>
  <si>
    <t xml:space="preserve">AZ_PIM_Res_0028</t>
  </si>
  <si>
    <t xml:space="preserve">Owner AZ 29</t>
  </si>
  <si>
    <t xml:space="preserve">2596 Main St</t>
  </si>
  <si>
    <t xml:space="preserve">91034</t>
  </si>
  <si>
    <t xml:space="preserve">AZ_PIM_Res_0029</t>
  </si>
  <si>
    <t xml:space="preserve">Owner AZ 30</t>
  </si>
  <si>
    <t xml:space="preserve">2160 Main St</t>
  </si>
  <si>
    <t xml:space="preserve">94526</t>
  </si>
  <si>
    <t xml:space="preserve">AZ_PIM_Res_0030</t>
  </si>
  <si>
    <t xml:space="preserve">Owner AZ 31</t>
  </si>
  <si>
    <t xml:space="preserve">7497 Main St</t>
  </si>
  <si>
    <t xml:space="preserve">82080</t>
  </si>
  <si>
    <t xml:space="preserve">AZ_PIM_Res_0031</t>
  </si>
  <si>
    <t xml:space="preserve">Owner AZ 32</t>
  </si>
  <si>
    <t xml:space="preserve">6620 Main St</t>
  </si>
  <si>
    <t xml:space="preserve">90935</t>
  </si>
  <si>
    <t xml:space="preserve">AZ_PIM_Res_0032</t>
  </si>
  <si>
    <t xml:space="preserve">Owner AZ 33</t>
  </si>
  <si>
    <t xml:space="preserve">1786 Main St</t>
  </si>
  <si>
    <t xml:space="preserve">83312</t>
  </si>
  <si>
    <t xml:space="preserve">AZ_PIM_Res_0033</t>
  </si>
  <si>
    <t xml:space="preserve">Owner AZ 34</t>
  </si>
  <si>
    <t xml:space="preserve">5800 Main St</t>
  </si>
  <si>
    <t xml:space="preserve">97627</t>
  </si>
  <si>
    <t xml:space="preserve">AZ_PIM_Res_0034</t>
  </si>
  <si>
    <t xml:space="preserve">Owner AZ 35</t>
  </si>
  <si>
    <t xml:space="preserve">7733 Main St</t>
  </si>
  <si>
    <t xml:space="preserve">86224</t>
  </si>
  <si>
    <t xml:space="preserve">AZ_PIM_Res_0035</t>
  </si>
  <si>
    <t xml:space="preserve">Owner AZ 36</t>
  </si>
  <si>
    <t xml:space="preserve">4847 Main St</t>
  </si>
  <si>
    <t xml:space="preserve">91865</t>
  </si>
  <si>
    <t xml:space="preserve">AZ_PIM_Res_0036</t>
  </si>
  <si>
    <t xml:space="preserve">Owner AZ 37</t>
  </si>
  <si>
    <t xml:space="preserve">7461 Main St</t>
  </si>
  <si>
    <t xml:space="preserve">99803</t>
  </si>
  <si>
    <t xml:space="preserve">AZ_PIM_Res_0037</t>
  </si>
  <si>
    <t xml:space="preserve">Owner AZ 38</t>
  </si>
  <si>
    <t xml:space="preserve">6331 Main St</t>
  </si>
  <si>
    <t xml:space="preserve">80038</t>
  </si>
  <si>
    <t xml:space="preserve">AZ_PIM_Res_0038</t>
  </si>
  <si>
    <t xml:space="preserve">Owner AZ 39</t>
  </si>
  <si>
    <t xml:space="preserve">6118 Main St</t>
  </si>
  <si>
    <t xml:space="preserve">85716</t>
  </si>
  <si>
    <t xml:space="preserve">AZ_PIM_Res_0039</t>
  </si>
  <si>
    <t xml:space="preserve">Owner AZ 40</t>
  </si>
  <si>
    <t xml:space="preserve">5620 Main St</t>
  </si>
  <si>
    <t xml:space="preserve">97569</t>
  </si>
  <si>
    <t xml:space="preserve">AZ_PIM_Res_0040</t>
  </si>
  <si>
    <t xml:space="preserve">Owner AZ 41</t>
  </si>
  <si>
    <t xml:space="preserve">2522 Main St</t>
  </si>
  <si>
    <t xml:space="preserve">80402</t>
  </si>
  <si>
    <t xml:space="preserve">AZ_PIM_Res_0041</t>
  </si>
  <si>
    <t xml:space="preserve">Owner AZ 42</t>
  </si>
  <si>
    <t xml:space="preserve">7264 Main St</t>
  </si>
  <si>
    <t xml:space="preserve">91394</t>
  </si>
  <si>
    <t xml:space="preserve">AZ_PIM_Res_0042</t>
  </si>
  <si>
    <t xml:space="preserve">Owner AZ 43</t>
  </si>
  <si>
    <t xml:space="preserve">9229 Main St</t>
  </si>
  <si>
    <t xml:space="preserve">89008</t>
  </si>
  <si>
    <t xml:space="preserve">AZ_PIM_Res_0043</t>
  </si>
  <si>
    <t xml:space="preserve">Owner AZ 44</t>
  </si>
  <si>
    <t xml:space="preserve">4818 Main St</t>
  </si>
  <si>
    <t xml:space="preserve">93025</t>
  </si>
  <si>
    <t xml:space="preserve">AZ_PIM_Res_0044</t>
  </si>
  <si>
    <t xml:space="preserve">Owner AZ 45</t>
  </si>
  <si>
    <t xml:space="preserve">2715 Main St</t>
  </si>
  <si>
    <t xml:space="preserve">97612</t>
  </si>
  <si>
    <t xml:space="preserve">AZ_PIM_Res_0045</t>
  </si>
  <si>
    <t xml:space="preserve">Owner AZ 46</t>
  </si>
  <si>
    <t xml:space="preserve">278 Main St</t>
  </si>
  <si>
    <t xml:space="preserve">92037</t>
  </si>
  <si>
    <t xml:space="preserve">AZ_PIM_Res_0046</t>
  </si>
  <si>
    <t xml:space="preserve">Owner AZ 47</t>
  </si>
  <si>
    <t xml:space="preserve">6056 Main St</t>
  </si>
  <si>
    <t xml:space="preserve">89894</t>
  </si>
  <si>
    <t xml:space="preserve">AZ_PIM_Res_0047</t>
  </si>
  <si>
    <t xml:space="preserve">Owner AZ 48</t>
  </si>
  <si>
    <t xml:space="preserve">2508 Main St</t>
  </si>
  <si>
    <t xml:space="preserve">83935</t>
  </si>
  <si>
    <t xml:space="preserve">AZ_PIM_Res_0048</t>
  </si>
  <si>
    <t xml:space="preserve">Owner AZ 49</t>
  </si>
  <si>
    <t xml:space="preserve">9330 Main St</t>
  </si>
  <si>
    <t xml:space="preserve">94703</t>
  </si>
  <si>
    <t xml:space="preserve">AZ_PIM_Res_0049</t>
  </si>
  <si>
    <t xml:space="preserve">Owner AZ 50</t>
  </si>
  <si>
    <t xml:space="preserve">6128 Main St</t>
  </si>
  <si>
    <t xml:space="preserve">89920</t>
  </si>
  <si>
    <t xml:space="preserve">AZ_PIM_Res_0050</t>
  </si>
  <si>
    <t xml:space="preserve">Owner AZ 51</t>
  </si>
  <si>
    <t xml:space="preserve">6299 Main St</t>
  </si>
  <si>
    <t xml:space="preserve">91420</t>
  </si>
  <si>
    <t xml:space="preserve">AZ_PIM_Res_0051</t>
  </si>
  <si>
    <t xml:space="preserve">Owner AZ 52</t>
  </si>
  <si>
    <t xml:space="preserve">6221 Main St</t>
  </si>
  <si>
    <t xml:space="preserve">96024</t>
  </si>
  <si>
    <t xml:space="preserve">AZ_PIM_Res_0052</t>
  </si>
  <si>
    <t xml:space="preserve">Owner AZ 53</t>
  </si>
  <si>
    <t xml:space="preserve">8555 Main St</t>
  </si>
  <si>
    <t xml:space="preserve">85446</t>
  </si>
  <si>
    <t xml:space="preserve">AZ_PIM_Res_0053</t>
  </si>
  <si>
    <t xml:space="preserve">Owner AZ 54</t>
  </si>
  <si>
    <t xml:space="preserve">5280 Main St</t>
  </si>
  <si>
    <t xml:space="preserve">86505</t>
  </si>
  <si>
    <t xml:space="preserve">AZ_PIM_Res_0054</t>
  </si>
  <si>
    <t xml:space="preserve">Owner AZ 55</t>
  </si>
  <si>
    <t xml:space="preserve">1106 Main St</t>
  </si>
  <si>
    <t xml:space="preserve">81065</t>
  </si>
  <si>
    <t xml:space="preserve">AZ_PIM_Res_0055</t>
  </si>
  <si>
    <t xml:space="preserve">Owner AZ 56</t>
  </si>
  <si>
    <t xml:space="preserve">2069 Main St</t>
  </si>
  <si>
    <t xml:space="preserve">86942</t>
  </si>
  <si>
    <t xml:space="preserve">AZ_PIM_Res_0056</t>
  </si>
  <si>
    <t xml:space="preserve">Owner AZ 57</t>
  </si>
  <si>
    <t xml:space="preserve">9533 Main St</t>
  </si>
  <si>
    <t xml:space="preserve">83689</t>
  </si>
  <si>
    <t xml:space="preserve">AZ_PIM_Res_0057</t>
  </si>
  <si>
    <t xml:space="preserve">Owner AZ 58</t>
  </si>
  <si>
    <t xml:space="preserve">8260 Main St</t>
  </si>
  <si>
    <t xml:space="preserve">84124</t>
  </si>
  <si>
    <t xml:space="preserve">AZ_PIM_Res_0058</t>
  </si>
  <si>
    <t xml:space="preserve">Owner AZ 59</t>
  </si>
  <si>
    <t xml:space="preserve">2814 Main St</t>
  </si>
  <si>
    <t xml:space="preserve">98297</t>
  </si>
  <si>
    <t xml:space="preserve">AZ_PIM_Res_0059</t>
  </si>
  <si>
    <t xml:space="preserve">Owner AZ 60</t>
  </si>
  <si>
    <t xml:space="preserve">3858 Main St</t>
  </si>
  <si>
    <t xml:space="preserve">91601</t>
  </si>
  <si>
    <t xml:space="preserve">AZ_PIM_Res_0060</t>
  </si>
  <si>
    <t xml:space="preserve">Owner AZ 61</t>
  </si>
  <si>
    <t xml:space="preserve">6249 Main St</t>
  </si>
  <si>
    <t xml:space="preserve">83317</t>
  </si>
  <si>
    <t xml:space="preserve">AZ_PIM_Res_0061</t>
  </si>
  <si>
    <t xml:space="preserve">Owner AZ 62</t>
  </si>
  <si>
    <t xml:space="preserve">8660 Main St</t>
  </si>
  <si>
    <t xml:space="preserve">97194</t>
  </si>
  <si>
    <t xml:space="preserve">AZ_PIM_Res_0062</t>
  </si>
  <si>
    <t xml:space="preserve">Owner AZ 63</t>
  </si>
  <si>
    <t xml:space="preserve">8184 Main St</t>
  </si>
  <si>
    <t xml:space="preserve">94690</t>
  </si>
  <si>
    <t xml:space="preserve">AZ_PIM_Res_0063</t>
  </si>
  <si>
    <t xml:space="preserve">Owner AZ 64</t>
  </si>
  <si>
    <t xml:space="preserve">259 Main St</t>
  </si>
  <si>
    <t xml:space="preserve">89198</t>
  </si>
  <si>
    <t xml:space="preserve">AZ_PIM_Res_0064</t>
  </si>
  <si>
    <t xml:space="preserve">Owner AZ 65</t>
  </si>
  <si>
    <t xml:space="preserve">3825 Main St</t>
  </si>
  <si>
    <t xml:space="preserve">85794</t>
  </si>
  <si>
    <t xml:space="preserve">AZ_PIM_Res_0065</t>
  </si>
  <si>
    <t xml:space="preserve">Owner AZ 66</t>
  </si>
  <si>
    <t xml:space="preserve">6452 Main St</t>
  </si>
  <si>
    <t xml:space="preserve">84035</t>
  </si>
  <si>
    <t xml:space="preserve">AZ_PIM_Res_0066</t>
  </si>
  <si>
    <t xml:space="preserve">Owner AZ 67</t>
  </si>
  <si>
    <t xml:space="preserve">7249 Main St</t>
  </si>
  <si>
    <t xml:space="preserve">93576</t>
  </si>
  <si>
    <t xml:space="preserve">AZ_PIM_Res_0067</t>
  </si>
  <si>
    <t xml:space="preserve">Owner AZ 68</t>
  </si>
  <si>
    <t xml:space="preserve">2687 Main St</t>
  </si>
  <si>
    <t xml:space="preserve">80521</t>
  </si>
  <si>
    <t xml:space="preserve">AZ_PIM_Res_0068</t>
  </si>
  <si>
    <t xml:space="preserve">Owner AZ 69</t>
  </si>
  <si>
    <t xml:space="preserve">9442 Main St</t>
  </si>
  <si>
    <t xml:space="preserve">80279</t>
  </si>
  <si>
    <t xml:space="preserve">AZ_PIM_Res_0069</t>
  </si>
  <si>
    <t xml:space="preserve">Owner AZ 70</t>
  </si>
  <si>
    <t xml:space="preserve">5401 Main St</t>
  </si>
  <si>
    <t xml:space="preserve">90645</t>
  </si>
  <si>
    <t xml:space="preserve">AZ_PIM_Res_0070</t>
  </si>
  <si>
    <t xml:space="preserve">Owner AZ 71</t>
  </si>
  <si>
    <t xml:space="preserve">9814 Main St</t>
  </si>
  <si>
    <t xml:space="preserve">82958</t>
  </si>
  <si>
    <t xml:space="preserve">AZ_PIM_Res_0071</t>
  </si>
  <si>
    <t xml:space="preserve">Owner AZ 72</t>
  </si>
  <si>
    <t xml:space="preserve">1103 Main St</t>
  </si>
  <si>
    <t xml:space="preserve">82375</t>
  </si>
  <si>
    <t xml:space="preserve">AZ_PIM_Res_0072</t>
  </si>
  <si>
    <t xml:space="preserve">Owner AZ 73</t>
  </si>
  <si>
    <t xml:space="preserve">6982 Main St</t>
  </si>
  <si>
    <t xml:space="preserve">81641</t>
  </si>
  <si>
    <t xml:space="preserve">AZ_PIM_Res_0073</t>
  </si>
  <si>
    <t xml:space="preserve">Owner AZ 74</t>
  </si>
  <si>
    <t xml:space="preserve">4520 Main St</t>
  </si>
  <si>
    <t xml:space="preserve">87802</t>
  </si>
  <si>
    <t xml:space="preserve">AZ_PIM_Res_0074</t>
  </si>
  <si>
    <t xml:space="preserve">Owner AZ 75</t>
  </si>
  <si>
    <t xml:space="preserve">2695 Main St</t>
  </si>
  <si>
    <t xml:space="preserve">99547</t>
  </si>
  <si>
    <t xml:space="preserve">AZ_PIM_Res_0075</t>
  </si>
  <si>
    <t xml:space="preserve">Owner AZ 76</t>
  </si>
  <si>
    <t xml:space="preserve">3583 Main St</t>
  </si>
  <si>
    <t xml:space="preserve">86822</t>
  </si>
  <si>
    <t xml:space="preserve">AZ_PIM_Res_0076</t>
  </si>
  <si>
    <t xml:space="preserve">Owner AZ 77</t>
  </si>
  <si>
    <t xml:space="preserve">2598 Main St</t>
  </si>
  <si>
    <t xml:space="preserve">99670</t>
  </si>
  <si>
    <t xml:space="preserve">AZ_PIM_Res_0077</t>
  </si>
  <si>
    <t xml:space="preserve">Owner AZ 78</t>
  </si>
  <si>
    <t xml:space="preserve">2843 Main St</t>
  </si>
  <si>
    <t xml:space="preserve">92853</t>
  </si>
  <si>
    <t xml:space="preserve">AZ_PIM_Res_0078</t>
  </si>
  <si>
    <t xml:space="preserve">Owner AZ 79</t>
  </si>
  <si>
    <t xml:space="preserve">4410 Main St</t>
  </si>
  <si>
    <t xml:space="preserve">93754</t>
  </si>
  <si>
    <t xml:space="preserve">AZ_PIM_Res_0079</t>
  </si>
  <si>
    <t xml:space="preserve">Owner AZ 80</t>
  </si>
  <si>
    <t xml:space="preserve">913 Main St</t>
  </si>
  <si>
    <t xml:space="preserve">92998</t>
  </si>
  <si>
    <t xml:space="preserve">AZ_PIM_Com_0000</t>
  </si>
  <si>
    <t xml:space="preserve">Commercial</t>
  </si>
  <si>
    <t xml:space="preserve">S-CORP</t>
  </si>
  <si>
    <t xml:space="preserve">4373 Main St</t>
  </si>
  <si>
    <t xml:space="preserve">87605</t>
  </si>
  <si>
    <t xml:space="preserve">WB_Commercial_Pima_County_AZ.csv</t>
  </si>
  <si>
    <t xml:space="preserve">AZ_PIM_Com_0001</t>
  </si>
  <si>
    <t xml:space="preserve">C-CORP</t>
  </si>
  <si>
    <t xml:space="preserve">6453 Main St</t>
  </si>
  <si>
    <t xml:space="preserve">98369</t>
  </si>
  <si>
    <t xml:space="preserve">AZ_PIM_Com_0002</t>
  </si>
  <si>
    <t xml:space="preserve">5889 Main St</t>
  </si>
  <si>
    <t xml:space="preserve">96098</t>
  </si>
  <si>
    <t xml:space="preserve">AZ_PIM_Com_0003</t>
  </si>
  <si>
    <t xml:space="preserve">LLC</t>
  </si>
  <si>
    <t xml:space="preserve">8894 Main St</t>
  </si>
  <si>
    <t xml:space="preserve">99830</t>
  </si>
  <si>
    <t xml:space="preserve">AZ_PIM_Com_0004</t>
  </si>
  <si>
    <t xml:space="preserve">1524 Main St</t>
  </si>
  <si>
    <t xml:space="preserve">80863</t>
  </si>
  <si>
    <t xml:space="preserve">AZ_PIM_Com_0005</t>
  </si>
  <si>
    <t xml:space="preserve">9033 Main St</t>
  </si>
  <si>
    <t xml:space="preserve">95000</t>
  </si>
  <si>
    <t xml:space="preserve">AZ_PIM_Com_0006</t>
  </si>
  <si>
    <t xml:space="preserve">1791 Main St</t>
  </si>
  <si>
    <t xml:space="preserve">93977</t>
  </si>
  <si>
    <t xml:space="preserve">AZ_PIM_Com_0007</t>
  </si>
  <si>
    <t xml:space="preserve">2716 Main St</t>
  </si>
  <si>
    <t xml:space="preserve">80643</t>
  </si>
  <si>
    <t xml:space="preserve">AZ_PIM_Com_0008</t>
  </si>
  <si>
    <t xml:space="preserve">3927 Main St</t>
  </si>
  <si>
    <t xml:space="preserve">98301</t>
  </si>
  <si>
    <t xml:space="preserve">AZ_PIM_Com_0009</t>
  </si>
  <si>
    <t xml:space="preserve">8036 Main St</t>
  </si>
  <si>
    <t xml:space="preserve">89943</t>
  </si>
  <si>
    <t xml:space="preserve">AZ_PIM_Com_0010</t>
  </si>
  <si>
    <t xml:space="preserve">3432 Main St</t>
  </si>
  <si>
    <t xml:space="preserve">84548</t>
  </si>
  <si>
    <t xml:space="preserve">AZ_PIM_Com_0011</t>
  </si>
  <si>
    <t xml:space="preserve">878 Main St</t>
  </si>
  <si>
    <t xml:space="preserve">85856</t>
  </si>
  <si>
    <t xml:space="preserve">AZ_PIM_Com_0012</t>
  </si>
  <si>
    <t xml:space="preserve">4164 Main St</t>
  </si>
  <si>
    <t xml:space="preserve">81294</t>
  </si>
  <si>
    <t xml:space="preserve">AZ_PIM_Com_0013</t>
  </si>
  <si>
    <t xml:space="preserve">8067 Main St</t>
  </si>
  <si>
    <t xml:space="preserve">85992</t>
  </si>
  <si>
    <t xml:space="preserve">AZ_PIM_Com_0014</t>
  </si>
  <si>
    <t xml:space="preserve">2441 Main St</t>
  </si>
  <si>
    <t xml:space="preserve">80352</t>
  </si>
  <si>
    <t xml:space="preserve">AZ_PIM_Com_0015</t>
  </si>
  <si>
    <t xml:space="preserve">8488 Main St</t>
  </si>
  <si>
    <t xml:space="preserve">92080</t>
  </si>
  <si>
    <t xml:space="preserve">AZ_PIM_Com_0016</t>
  </si>
  <si>
    <t xml:space="preserve">5254 Main St</t>
  </si>
  <si>
    <t xml:space="preserve">88322</t>
  </si>
  <si>
    <t xml:space="preserve">AZ_PIM_Com_0017</t>
  </si>
  <si>
    <t xml:space="preserve">6681 Main St</t>
  </si>
  <si>
    <t xml:space="preserve">81498</t>
  </si>
  <si>
    <t xml:space="preserve">AZ_PIM_Com_0018</t>
  </si>
  <si>
    <t xml:space="preserve">5033 Main St</t>
  </si>
  <si>
    <t xml:space="preserve">94284</t>
  </si>
  <si>
    <t xml:space="preserve">AZ_PIM_Com_0019</t>
  </si>
  <si>
    <t xml:space="preserve">5453 Main St</t>
  </si>
  <si>
    <t xml:space="preserve">91072</t>
  </si>
  <si>
    <t xml:space="preserve">AZ_PIM_Com_0020</t>
  </si>
  <si>
    <t xml:space="preserve">8330 Main St</t>
  </si>
  <si>
    <t xml:space="preserve">83817</t>
  </si>
  <si>
    <t xml:space="preserve">AZ_PIM_Com_0021</t>
  </si>
  <si>
    <t xml:space="preserve">2494 Main St</t>
  </si>
  <si>
    <t xml:space="preserve">97196</t>
  </si>
  <si>
    <t xml:space="preserve">AZ_PIM_Com_0022</t>
  </si>
  <si>
    <t xml:space="preserve">2861 Main St</t>
  </si>
  <si>
    <t xml:space="preserve">82852</t>
  </si>
  <si>
    <t xml:space="preserve">AZ_PIM_Com_0023</t>
  </si>
  <si>
    <t xml:space="preserve">3223 Main St</t>
  </si>
  <si>
    <t xml:space="preserve">94822</t>
  </si>
  <si>
    <t xml:space="preserve">AZ_PIM_Com_0024</t>
  </si>
  <si>
    <t xml:space="preserve">7232 Main St</t>
  </si>
  <si>
    <t xml:space="preserve">95955</t>
  </si>
  <si>
    <t xml:space="preserve">AZ_PIM_Com_0025</t>
  </si>
  <si>
    <t xml:space="preserve">3324 Main St</t>
  </si>
  <si>
    <t xml:space="preserve">89250</t>
  </si>
  <si>
    <t xml:space="preserve">AZ_PIM_Com_0026</t>
  </si>
  <si>
    <t xml:space="preserve">9919 Main St</t>
  </si>
  <si>
    <t xml:space="preserve">83704</t>
  </si>
  <si>
    <t xml:space="preserve">AZ_PIM_Com_0027</t>
  </si>
  <si>
    <t xml:space="preserve">2753 Main St</t>
  </si>
  <si>
    <t xml:space="preserve">98212</t>
  </si>
  <si>
    <t xml:space="preserve">AZ_PIM_Com_0028</t>
  </si>
  <si>
    <t xml:space="preserve">1096 Main St</t>
  </si>
  <si>
    <t xml:space="preserve">AZ_PIM_Com_0029</t>
  </si>
  <si>
    <t xml:space="preserve">700 Main St</t>
  </si>
  <si>
    <t xml:space="preserve">AZ_PIM_Com_0030</t>
  </si>
  <si>
    <t xml:space="preserve">1268 Main St</t>
  </si>
  <si>
    <t xml:space="preserve">80700</t>
  </si>
  <si>
    <t xml:space="preserve">AZ_PIM_Com_0031</t>
  </si>
  <si>
    <t xml:space="preserve">3113 Main St</t>
  </si>
  <si>
    <t xml:space="preserve">88232</t>
  </si>
  <si>
    <t xml:space="preserve">AZ_PIM_Com_0032</t>
  </si>
  <si>
    <t xml:space="preserve">7571 Main St</t>
  </si>
  <si>
    <t xml:space="preserve">92409</t>
  </si>
  <si>
    <t xml:space="preserve">AZ_PIM_Com_0033</t>
  </si>
  <si>
    <t xml:space="preserve">6313 Main St</t>
  </si>
  <si>
    <t xml:space="preserve">97679</t>
  </si>
  <si>
    <t xml:space="preserve">AZ_PIM_Com_0034</t>
  </si>
  <si>
    <t xml:space="preserve">6596 Main St</t>
  </si>
  <si>
    <t xml:space="preserve">94082</t>
  </si>
  <si>
    <t xml:space="preserve">AZ_PIM_Com_0035</t>
  </si>
  <si>
    <t xml:space="preserve">655 Main St</t>
  </si>
  <si>
    <t xml:space="preserve">82719</t>
  </si>
  <si>
    <t xml:space="preserve">AZ_PIM_Com_0036</t>
  </si>
  <si>
    <t xml:space="preserve">9929 Main St</t>
  </si>
  <si>
    <t xml:space="preserve">84136</t>
  </si>
  <si>
    <t xml:space="preserve">AZ_PIM_Com_0037</t>
  </si>
  <si>
    <t xml:space="preserve">8080 Main St</t>
  </si>
  <si>
    <t xml:space="preserve">82419</t>
  </si>
  <si>
    <t xml:space="preserve">AZ_PIM_Com_0038</t>
  </si>
  <si>
    <t xml:space="preserve">6502 Main St</t>
  </si>
  <si>
    <t xml:space="preserve">97822</t>
  </si>
  <si>
    <t xml:space="preserve">AZ_PIM_Com_0039</t>
  </si>
  <si>
    <t xml:space="preserve">3382 Main St</t>
  </si>
  <si>
    <t xml:space="preserve">94045</t>
  </si>
  <si>
    <t xml:space="preserve">AZ_PIM_Com_0040</t>
  </si>
  <si>
    <t xml:space="preserve">3542 Main St</t>
  </si>
  <si>
    <t xml:space="preserve">91739</t>
  </si>
  <si>
    <t xml:space="preserve">AZ_PIM_Com_0041</t>
  </si>
  <si>
    <t xml:space="preserve">6025 Main St</t>
  </si>
  <si>
    <t xml:space="preserve">94386</t>
  </si>
  <si>
    <t xml:space="preserve">AZ_PIM_Com_0042</t>
  </si>
  <si>
    <t xml:space="preserve">6760 Main St</t>
  </si>
  <si>
    <t xml:space="preserve">99786</t>
  </si>
  <si>
    <t xml:space="preserve">AZ_PIM_Com_0043</t>
  </si>
  <si>
    <t xml:space="preserve">2054 Main St</t>
  </si>
  <si>
    <t xml:space="preserve">80048</t>
  </si>
  <si>
    <t xml:space="preserve">AZ_PIM_Com_0044</t>
  </si>
  <si>
    <t xml:space="preserve">5614 Main St</t>
  </si>
  <si>
    <t xml:space="preserve">82070</t>
  </si>
  <si>
    <t xml:space="preserve">AZ_PIM_Com_0045</t>
  </si>
  <si>
    <t xml:space="preserve">2040 Main St</t>
  </si>
  <si>
    <t xml:space="preserve">87434</t>
  </si>
  <si>
    <t xml:space="preserve">AZ_PIM_Com_0046</t>
  </si>
  <si>
    <t xml:space="preserve">9219 Main St</t>
  </si>
  <si>
    <t xml:space="preserve">92526</t>
  </si>
  <si>
    <t xml:space="preserve">AZ_PIM_Com_0047</t>
  </si>
  <si>
    <t xml:space="preserve">8276 Main St</t>
  </si>
  <si>
    <t xml:space="preserve">83912</t>
  </si>
  <si>
    <t xml:space="preserve">AZ_PIM_Com_0048</t>
  </si>
  <si>
    <t xml:space="preserve">5760 Main St</t>
  </si>
  <si>
    <t xml:space="preserve">94031</t>
  </si>
  <si>
    <t xml:space="preserve">AZ_PIM_Com_0049</t>
  </si>
  <si>
    <t xml:space="preserve">3673 Main St</t>
  </si>
  <si>
    <t xml:space="preserve">93790</t>
  </si>
  <si>
    <t xml:space="preserve">AZ_PIM_Com_0050</t>
  </si>
  <si>
    <t xml:space="preserve">3359 Main St</t>
  </si>
  <si>
    <t xml:space="preserve">89702</t>
  </si>
  <si>
    <t xml:space="preserve">AZ_PIM_Com_0051</t>
  </si>
  <si>
    <t xml:space="preserve">7660 Main St</t>
  </si>
  <si>
    <t xml:space="preserve">81413</t>
  </si>
  <si>
    <t xml:space="preserve">AZ_PIM_Com_0052</t>
  </si>
  <si>
    <t xml:space="preserve">5356 Main St</t>
  </si>
  <si>
    <t xml:space="preserve">85721</t>
  </si>
  <si>
    <t xml:space="preserve">AZ_PIM_Com_0053</t>
  </si>
  <si>
    <t xml:space="preserve">7662 Main St</t>
  </si>
  <si>
    <t xml:space="preserve">99230</t>
  </si>
  <si>
    <t xml:space="preserve">AZ_PIM_Com_0054</t>
  </si>
  <si>
    <t xml:space="preserve">7410 Main St</t>
  </si>
  <si>
    <t xml:space="preserve">96506</t>
  </si>
  <si>
    <t xml:space="preserve">AZ_PIM_Com_0055</t>
  </si>
  <si>
    <t xml:space="preserve">2589 Main St</t>
  </si>
  <si>
    <t xml:space="preserve">93300</t>
  </si>
  <si>
    <t xml:space="preserve">AZ_PIM_Com_0056</t>
  </si>
  <si>
    <t xml:space="preserve">9188 Main St</t>
  </si>
  <si>
    <t xml:space="preserve">83671</t>
  </si>
  <si>
    <t xml:space="preserve">AZ_PIM_Com_0057</t>
  </si>
  <si>
    <t xml:space="preserve">1981 Main St</t>
  </si>
  <si>
    <t xml:space="preserve">82883</t>
  </si>
  <si>
    <t xml:space="preserve">AZ_PIM_Com_0058</t>
  </si>
  <si>
    <t xml:space="preserve">4480 Main St</t>
  </si>
  <si>
    <t xml:space="preserve">98643</t>
  </si>
  <si>
    <t xml:space="preserve">AZ_PIM_Com_0059</t>
  </si>
  <si>
    <t xml:space="preserve">3212 Main St</t>
  </si>
  <si>
    <t xml:space="preserve">87494</t>
  </si>
  <si>
    <t xml:space="preserve">AZ_PIM_Com_0060</t>
  </si>
  <si>
    <t xml:space="preserve">986 Main St</t>
  </si>
  <si>
    <t xml:space="preserve">99444</t>
  </si>
  <si>
    <t xml:space="preserve">AZ_PIM_Com_0061</t>
  </si>
  <si>
    <t xml:space="preserve">6266 Main St</t>
  </si>
  <si>
    <t xml:space="preserve">85929</t>
  </si>
  <si>
    <t xml:space="preserve">AZ_PIM_Com_0062</t>
  </si>
  <si>
    <t xml:space="preserve">5987 Main St</t>
  </si>
  <si>
    <t xml:space="preserve">84762</t>
  </si>
  <si>
    <t xml:space="preserve">AZ_PIM_Com_0063</t>
  </si>
  <si>
    <t xml:space="preserve">5565 Main St</t>
  </si>
  <si>
    <t xml:space="preserve">93505</t>
  </si>
  <si>
    <t xml:space="preserve">AZ_PIM_Com_0064</t>
  </si>
  <si>
    <t xml:space="preserve">5657 Main St</t>
  </si>
  <si>
    <t xml:space="preserve">88920</t>
  </si>
  <si>
    <t xml:space="preserve">AZ_PIM_Com_0065</t>
  </si>
  <si>
    <t xml:space="preserve">2348 Main St</t>
  </si>
  <si>
    <t xml:space="preserve">85451</t>
  </si>
  <si>
    <t xml:space="preserve">AZ_PIM_Com_0066</t>
  </si>
  <si>
    <t xml:space="preserve">8724 Main St</t>
  </si>
  <si>
    <t xml:space="preserve">82659</t>
  </si>
  <si>
    <t xml:space="preserve">AZ_PIM_Com_0067</t>
  </si>
  <si>
    <t xml:space="preserve">4377 Main St</t>
  </si>
  <si>
    <t xml:space="preserve">98854</t>
  </si>
  <si>
    <t xml:space="preserve">AZ_PIM_Com_0068</t>
  </si>
  <si>
    <t xml:space="preserve">5500 Main St</t>
  </si>
  <si>
    <t xml:space="preserve">82110</t>
  </si>
  <si>
    <t xml:space="preserve">AZ_PIM_Com_0069</t>
  </si>
  <si>
    <t xml:space="preserve">8644 Main St</t>
  </si>
  <si>
    <t xml:space="preserve">89126</t>
  </si>
  <si>
    <t xml:space="preserve">AZ_PIM_Com_0070</t>
  </si>
  <si>
    <t xml:space="preserve">7832 Main St</t>
  </si>
  <si>
    <t xml:space="preserve">87880</t>
  </si>
  <si>
    <t xml:space="preserve">AZ_PIM_Com_0071</t>
  </si>
  <si>
    <t xml:space="preserve">1544 Main St</t>
  </si>
  <si>
    <t xml:space="preserve">82224</t>
  </si>
  <si>
    <t xml:space="preserve">AZ_PIM_Com_0072</t>
  </si>
  <si>
    <t xml:space="preserve">3783 Main St</t>
  </si>
  <si>
    <t xml:space="preserve">82297</t>
  </si>
  <si>
    <t xml:space="preserve">AZ_PIM_Com_0073</t>
  </si>
  <si>
    <t xml:space="preserve">4387 Main St</t>
  </si>
  <si>
    <t xml:space="preserve">85617</t>
  </si>
  <si>
    <t xml:space="preserve">AZ_PIM_Com_0074</t>
  </si>
  <si>
    <t xml:space="preserve">4497 Main St</t>
  </si>
  <si>
    <t xml:space="preserve">90161</t>
  </si>
  <si>
    <t xml:space="preserve">AZ_PIM_Com_0075</t>
  </si>
  <si>
    <t xml:space="preserve">4346 Main St</t>
  </si>
  <si>
    <t xml:space="preserve">80280</t>
  </si>
  <si>
    <t xml:space="preserve">AZ_PIM_Com_0076</t>
  </si>
  <si>
    <t xml:space="preserve">4316 Main St</t>
  </si>
  <si>
    <t xml:space="preserve">80890</t>
  </si>
  <si>
    <t xml:space="preserve">AZ_PIM_Com_0077</t>
  </si>
  <si>
    <t xml:space="preserve">5937 Main St</t>
  </si>
  <si>
    <t xml:space="preserve">92200</t>
  </si>
  <si>
    <t xml:space="preserve">AZ_PIM_Com_0078</t>
  </si>
  <si>
    <t xml:space="preserve">857 Main St</t>
  </si>
  <si>
    <t xml:space="preserve">92913</t>
  </si>
  <si>
    <t xml:space="preserve">AZ_PIM_Com_0079</t>
  </si>
  <si>
    <t xml:space="preserve">3284 Main St</t>
  </si>
  <si>
    <t xml:space="preserve">99945</t>
  </si>
  <si>
    <t xml:space="preserve">AZ_MOH_Res_0000</t>
  </si>
  <si>
    <t xml:space="preserve">1264 Main St</t>
  </si>
  <si>
    <t xml:space="preserve">Mohave</t>
  </si>
  <si>
    <t xml:space="preserve">MOHAVE</t>
  </si>
  <si>
    <t xml:space="preserve">WB_Residential_Mohave_County_AZ.csv</t>
  </si>
  <si>
    <t xml:space="preserve">AZ_MOH_Res_0001</t>
  </si>
  <si>
    <t xml:space="preserve">1823 Main St</t>
  </si>
  <si>
    <t xml:space="preserve">98995</t>
  </si>
  <si>
    <t xml:space="preserve">AZ_MOH_Res_0002</t>
  </si>
  <si>
    <t xml:space="preserve">1287 Main St</t>
  </si>
  <si>
    <t xml:space="preserve">96747</t>
  </si>
  <si>
    <t xml:space="preserve">AZ_MOH_Res_0003</t>
  </si>
  <si>
    <t xml:space="preserve">7251 Main St</t>
  </si>
  <si>
    <t xml:space="preserve">82147</t>
  </si>
  <si>
    <t xml:space="preserve">AZ_MOH_Res_0004</t>
  </si>
  <si>
    <t xml:space="preserve">97850</t>
  </si>
  <si>
    <t xml:space="preserve">AZ_MOH_Res_0005</t>
  </si>
  <si>
    <t xml:space="preserve">2897 Main St</t>
  </si>
  <si>
    <t xml:space="preserve">93807</t>
  </si>
  <si>
    <t xml:space="preserve">AZ_MOH_Res_0006</t>
  </si>
  <si>
    <t xml:space="preserve">3158 Main St</t>
  </si>
  <si>
    <t xml:space="preserve">97366</t>
  </si>
  <si>
    <t xml:space="preserve">AZ_MOH_Res_0007</t>
  </si>
  <si>
    <t xml:space="preserve">6421 Main St</t>
  </si>
  <si>
    <t xml:space="preserve">91346</t>
  </si>
  <si>
    <t xml:space="preserve">AZ_MOH_Res_0008</t>
  </si>
  <si>
    <t xml:space="preserve">3236 Main St</t>
  </si>
  <si>
    <t xml:space="preserve">86275</t>
  </si>
  <si>
    <t xml:space="preserve">AZ_MOH_Res_0009</t>
  </si>
  <si>
    <t xml:space="preserve">8289 Main St</t>
  </si>
  <si>
    <t xml:space="preserve">88774</t>
  </si>
  <si>
    <t xml:space="preserve">AZ_MOH_Res_0010</t>
  </si>
  <si>
    <t xml:space="preserve">9315 Main St</t>
  </si>
  <si>
    <t xml:space="preserve">93856</t>
  </si>
  <si>
    <t xml:space="preserve">AZ_MOH_Res_0011</t>
  </si>
  <si>
    <t xml:space="preserve">3766 Main St</t>
  </si>
  <si>
    <t xml:space="preserve">83490</t>
  </si>
  <si>
    <t xml:space="preserve">AZ_MOH_Res_0012</t>
  </si>
  <si>
    <t xml:space="preserve">4835 Main St</t>
  </si>
  <si>
    <t xml:space="preserve">80574</t>
  </si>
  <si>
    <t xml:space="preserve">AZ_MOH_Res_0013</t>
  </si>
  <si>
    <t xml:space="preserve">8863 Main St</t>
  </si>
  <si>
    <t xml:space="preserve">81010</t>
  </si>
  <si>
    <t xml:space="preserve">AZ_MOH_Res_0014</t>
  </si>
  <si>
    <t xml:space="preserve">4303 Main St</t>
  </si>
  <si>
    <t xml:space="preserve">81168</t>
  </si>
  <si>
    <t xml:space="preserve">AZ_MOH_Res_0015</t>
  </si>
  <si>
    <t xml:space="preserve">1781 Main St</t>
  </si>
  <si>
    <t xml:space="preserve">95867</t>
  </si>
  <si>
    <t xml:space="preserve">AZ_MOH_Res_0016</t>
  </si>
  <si>
    <t xml:space="preserve">622 Main St</t>
  </si>
  <si>
    <t xml:space="preserve">82711</t>
  </si>
  <si>
    <t xml:space="preserve">AZ_MOH_Res_0017</t>
  </si>
  <si>
    <t xml:space="preserve">9014 Main St</t>
  </si>
  <si>
    <t xml:space="preserve">97439</t>
  </si>
  <si>
    <t xml:space="preserve">AZ_MOH_Res_0018</t>
  </si>
  <si>
    <t xml:space="preserve">1625 Main St</t>
  </si>
  <si>
    <t xml:space="preserve">96034</t>
  </si>
  <si>
    <t xml:space="preserve">AZ_MOH_Res_0019</t>
  </si>
  <si>
    <t xml:space="preserve">6955 Main St</t>
  </si>
  <si>
    <t xml:space="preserve">85381</t>
  </si>
  <si>
    <t xml:space="preserve">AZ_MOH_Res_0020</t>
  </si>
  <si>
    <t xml:space="preserve">8930 Main St</t>
  </si>
  <si>
    <t xml:space="preserve">85401</t>
  </si>
  <si>
    <t xml:space="preserve">AZ_MOH_Res_0021</t>
  </si>
  <si>
    <t xml:space="preserve">6465 Main St</t>
  </si>
  <si>
    <t xml:space="preserve">84482</t>
  </si>
  <si>
    <t xml:space="preserve">AZ_MOH_Res_0022</t>
  </si>
  <si>
    <t xml:space="preserve">4936 Main St</t>
  </si>
  <si>
    <t xml:space="preserve">85359</t>
  </si>
  <si>
    <t xml:space="preserve">AZ_MOH_Res_0023</t>
  </si>
  <si>
    <t xml:space="preserve">6337 Main St</t>
  </si>
  <si>
    <t xml:space="preserve">86131</t>
  </si>
  <si>
    <t xml:space="preserve">AZ_MOH_Res_0024</t>
  </si>
  <si>
    <t xml:space="preserve">8666 Main St</t>
  </si>
  <si>
    <t xml:space="preserve">98000</t>
  </si>
  <si>
    <t xml:space="preserve">AZ_MOH_Res_0025</t>
  </si>
  <si>
    <t xml:space="preserve">1940 Main St</t>
  </si>
  <si>
    <t xml:space="preserve">84230</t>
  </si>
  <si>
    <t xml:space="preserve">AZ_MOH_Res_0026</t>
  </si>
  <si>
    <t xml:space="preserve">1742 Main St</t>
  </si>
  <si>
    <t xml:space="preserve">88304</t>
  </si>
  <si>
    <t xml:space="preserve">AZ_MOH_Res_0027</t>
  </si>
  <si>
    <t xml:space="preserve">8842 Main St</t>
  </si>
  <si>
    <t xml:space="preserve">87596</t>
  </si>
  <si>
    <t xml:space="preserve">AZ_MOH_Res_0028</t>
  </si>
  <si>
    <t xml:space="preserve">4013 Main St</t>
  </si>
  <si>
    <t xml:space="preserve">92680</t>
  </si>
  <si>
    <t xml:space="preserve">AZ_MOH_Res_0029</t>
  </si>
  <si>
    <t xml:space="preserve">5985 Main St</t>
  </si>
  <si>
    <t xml:space="preserve">80993</t>
  </si>
  <si>
    <t xml:space="preserve">AZ_MOH_Res_0030</t>
  </si>
  <si>
    <t xml:space="preserve">6884 Main St</t>
  </si>
  <si>
    <t xml:space="preserve">87862</t>
  </si>
  <si>
    <t xml:space="preserve">AZ_MOH_Res_0031</t>
  </si>
  <si>
    <t xml:space="preserve">4758 Main St</t>
  </si>
  <si>
    <t xml:space="preserve">AZ_MOH_Res_0032</t>
  </si>
  <si>
    <t xml:space="preserve">2769 Main St</t>
  </si>
  <si>
    <t xml:space="preserve">AZ_MOH_Res_0033</t>
  </si>
  <si>
    <t xml:space="preserve">8434 Main St</t>
  </si>
  <si>
    <t xml:space="preserve">96207</t>
  </si>
  <si>
    <t xml:space="preserve">AZ_MOH_Res_0034</t>
  </si>
  <si>
    <t xml:space="preserve">143 Main St</t>
  </si>
  <si>
    <t xml:space="preserve">92799</t>
  </si>
  <si>
    <t xml:space="preserve">AZ_MOH_Res_0035</t>
  </si>
  <si>
    <t xml:space="preserve">1549 Main St</t>
  </si>
  <si>
    <t xml:space="preserve">83421</t>
  </si>
  <si>
    <t xml:space="preserve">AZ_MOH_Res_0036</t>
  </si>
  <si>
    <t xml:space="preserve">7005 Main St</t>
  </si>
  <si>
    <t xml:space="preserve">86192</t>
  </si>
  <si>
    <t xml:space="preserve">AZ_MOH_Res_0037</t>
  </si>
  <si>
    <t xml:space="preserve">1729 Main St</t>
  </si>
  <si>
    <t xml:space="preserve">80652</t>
  </si>
  <si>
    <t xml:space="preserve">AZ_MOH_Res_0038</t>
  </si>
  <si>
    <t xml:space="preserve">9017 Main St</t>
  </si>
  <si>
    <t xml:space="preserve">86887</t>
  </si>
  <si>
    <t xml:space="preserve">AZ_MOH_Res_0039</t>
  </si>
  <si>
    <t xml:space="preserve">2707 Main St</t>
  </si>
  <si>
    <t xml:space="preserve">84369</t>
  </si>
  <si>
    <t xml:space="preserve">AZ_MOH_Res_0040</t>
  </si>
  <si>
    <t xml:space="preserve">2139 Main St</t>
  </si>
  <si>
    <t xml:space="preserve">83449</t>
  </si>
  <si>
    <t xml:space="preserve">AZ_MOH_Res_0041</t>
  </si>
  <si>
    <t xml:space="preserve">4681 Main St</t>
  </si>
  <si>
    <t xml:space="preserve">86658</t>
  </si>
  <si>
    <t xml:space="preserve">AZ_MOH_Res_0042</t>
  </si>
  <si>
    <t xml:space="preserve">3507 Main St</t>
  </si>
  <si>
    <t xml:space="preserve">80381</t>
  </si>
  <si>
    <t xml:space="preserve">AZ_MOH_Res_0043</t>
  </si>
  <si>
    <t xml:space="preserve">5690 Main St</t>
  </si>
  <si>
    <t xml:space="preserve">83034</t>
  </si>
  <si>
    <t xml:space="preserve">AZ_MOH_Res_0044</t>
  </si>
  <si>
    <t xml:space="preserve">6432 Main St</t>
  </si>
  <si>
    <t xml:space="preserve">93588</t>
  </si>
  <si>
    <t xml:space="preserve">AZ_MOH_Res_0045</t>
  </si>
  <si>
    <t xml:space="preserve">2287 Main St</t>
  </si>
  <si>
    <t xml:space="preserve">83458</t>
  </si>
  <si>
    <t xml:space="preserve">AZ_MOH_Res_0046</t>
  </si>
  <si>
    <t xml:space="preserve">2752 Main St</t>
  </si>
  <si>
    <t xml:space="preserve">82917</t>
  </si>
  <si>
    <t xml:space="preserve">AZ_MOH_Res_0047</t>
  </si>
  <si>
    <t xml:space="preserve">8564 Main St</t>
  </si>
  <si>
    <t xml:space="preserve">80192</t>
  </si>
  <si>
    <t xml:space="preserve">AZ_MOH_Res_0048</t>
  </si>
  <si>
    <t xml:space="preserve">5226 Main St</t>
  </si>
  <si>
    <t xml:space="preserve">87977</t>
  </si>
  <si>
    <t xml:space="preserve">AZ_MOH_Res_0049</t>
  </si>
  <si>
    <t xml:space="preserve">4783 Main St</t>
  </si>
  <si>
    <t xml:space="preserve">96419</t>
  </si>
  <si>
    <t xml:space="preserve">AZ_MOH_Res_0050</t>
  </si>
  <si>
    <t xml:space="preserve">972 Main St</t>
  </si>
  <si>
    <t xml:space="preserve">84213</t>
  </si>
  <si>
    <t xml:space="preserve">AZ_MOH_Res_0051</t>
  </si>
  <si>
    <t xml:space="preserve">6936 Main St</t>
  </si>
  <si>
    <t xml:space="preserve">80056</t>
  </si>
  <si>
    <t xml:space="preserve">AZ_MOH_Res_0052</t>
  </si>
  <si>
    <t xml:space="preserve">6285 Main St</t>
  </si>
  <si>
    <t xml:space="preserve">91340</t>
  </si>
  <si>
    <t xml:space="preserve">AZ_MOH_Res_0053</t>
  </si>
  <si>
    <t xml:space="preserve">6172 Main St</t>
  </si>
  <si>
    <t xml:space="preserve">93376</t>
  </si>
  <si>
    <t xml:space="preserve">AZ_MOH_Res_0054</t>
  </si>
  <si>
    <t xml:space="preserve">8119 Main St</t>
  </si>
  <si>
    <t xml:space="preserve">92569</t>
  </si>
  <si>
    <t xml:space="preserve">AZ_MOH_Res_0055</t>
  </si>
  <si>
    <t xml:space="preserve">3889 Main St</t>
  </si>
  <si>
    <t xml:space="preserve">87510</t>
  </si>
  <si>
    <t xml:space="preserve">AZ_MOH_Res_0056</t>
  </si>
  <si>
    <t xml:space="preserve">2805 Main St</t>
  </si>
  <si>
    <t xml:space="preserve">96012</t>
  </si>
  <si>
    <t xml:space="preserve">AZ_MOH_Res_0057</t>
  </si>
  <si>
    <t xml:space="preserve">8445 Main St</t>
  </si>
  <si>
    <t xml:space="preserve">95818</t>
  </si>
  <si>
    <t xml:space="preserve">AZ_MOH_Res_0058</t>
  </si>
  <si>
    <t xml:space="preserve">1898 Main St</t>
  </si>
  <si>
    <t xml:space="preserve">90873</t>
  </si>
  <si>
    <t xml:space="preserve">AZ_MOH_Res_0059</t>
  </si>
  <si>
    <t xml:space="preserve">92027</t>
  </si>
  <si>
    <t xml:space="preserve">AZ_MOH_Res_0060</t>
  </si>
  <si>
    <t xml:space="preserve">8227 Main St</t>
  </si>
  <si>
    <t xml:space="preserve">85179</t>
  </si>
  <si>
    <t xml:space="preserve">AZ_MOH_Res_0061</t>
  </si>
  <si>
    <t xml:space="preserve">6813 Main St</t>
  </si>
  <si>
    <t xml:space="preserve">89224</t>
  </si>
  <si>
    <t xml:space="preserve">AZ_MOH_Res_0062</t>
  </si>
  <si>
    <t xml:space="preserve">1118 Main St</t>
  </si>
  <si>
    <t xml:space="preserve">97964</t>
  </si>
  <si>
    <t xml:space="preserve">AZ_MOH_Res_0063</t>
  </si>
  <si>
    <t xml:space="preserve">1613 Main St</t>
  </si>
  <si>
    <t xml:space="preserve">86265</t>
  </si>
  <si>
    <t xml:space="preserve">AZ_MOH_Res_0064</t>
  </si>
  <si>
    <t xml:space="preserve">5076 Main St</t>
  </si>
  <si>
    <t xml:space="preserve">81031</t>
  </si>
  <si>
    <t xml:space="preserve">AZ_MOH_Res_0065</t>
  </si>
  <si>
    <t xml:space="preserve">5004 Main St</t>
  </si>
  <si>
    <t xml:space="preserve">92343</t>
  </si>
  <si>
    <t xml:space="preserve">AZ_MOH_Res_0066</t>
  </si>
  <si>
    <t xml:space="preserve">8291 Main St</t>
  </si>
  <si>
    <t xml:space="preserve">80101</t>
  </si>
  <si>
    <t xml:space="preserve">AZ_MOH_Res_0067</t>
  </si>
  <si>
    <t xml:space="preserve">3754 Main St</t>
  </si>
  <si>
    <t xml:space="preserve">99065</t>
  </si>
  <si>
    <t xml:space="preserve">AZ_MOH_Res_0068</t>
  </si>
  <si>
    <t xml:space="preserve">1750 Main St</t>
  </si>
  <si>
    <t xml:space="preserve">96577</t>
  </si>
  <si>
    <t xml:space="preserve">AZ_MOH_Res_0069</t>
  </si>
  <si>
    <t xml:space="preserve">9284 Main St</t>
  </si>
  <si>
    <t xml:space="preserve">97944</t>
  </si>
  <si>
    <t xml:space="preserve">AZ_MOH_Res_0070</t>
  </si>
  <si>
    <t xml:space="preserve">6015 Main St</t>
  </si>
  <si>
    <t xml:space="preserve">86381</t>
  </si>
  <si>
    <t xml:space="preserve">AZ_MOH_Res_0071</t>
  </si>
  <si>
    <t xml:space="preserve">2881 Main St</t>
  </si>
  <si>
    <t xml:space="preserve">92547</t>
  </si>
  <si>
    <t xml:space="preserve">AZ_MOH_Res_0072</t>
  </si>
  <si>
    <t xml:space="preserve">3556 Main St</t>
  </si>
  <si>
    <t xml:space="preserve">90674</t>
  </si>
  <si>
    <t xml:space="preserve">AZ_MOH_Res_0073</t>
  </si>
  <si>
    <t xml:space="preserve">2199 Main St</t>
  </si>
  <si>
    <t xml:space="preserve">99505</t>
  </si>
  <si>
    <t xml:space="preserve">AZ_MOH_Res_0074</t>
  </si>
  <si>
    <t xml:space="preserve">8401 Main St</t>
  </si>
  <si>
    <t xml:space="preserve">97246</t>
  </si>
  <si>
    <t xml:space="preserve">AZ_MOH_Res_0075</t>
  </si>
  <si>
    <t xml:space="preserve">1486 Main St</t>
  </si>
  <si>
    <t xml:space="preserve">87652</t>
  </si>
  <si>
    <t xml:space="preserve">AZ_MOH_Res_0076</t>
  </si>
  <si>
    <t xml:space="preserve">9068 Main St</t>
  </si>
  <si>
    <t xml:space="preserve">86246</t>
  </si>
  <si>
    <t xml:space="preserve">AZ_MOH_Res_0077</t>
  </si>
  <si>
    <t xml:space="preserve">9863 Main St</t>
  </si>
  <si>
    <t xml:space="preserve">87230</t>
  </si>
  <si>
    <t xml:space="preserve">AZ_MOH_Res_0078</t>
  </si>
  <si>
    <t xml:space="preserve">5007 Main St</t>
  </si>
  <si>
    <t xml:space="preserve">92900</t>
  </si>
  <si>
    <t xml:space="preserve">AZ_MOH_Res_0079</t>
  </si>
  <si>
    <t xml:space="preserve">9270 Main St</t>
  </si>
  <si>
    <t xml:space="preserve">82957</t>
  </si>
  <si>
    <t xml:space="preserve">AZ_MOH_Com_0000</t>
  </si>
  <si>
    <t xml:space="preserve">7376 Main St</t>
  </si>
  <si>
    <t xml:space="preserve">94837</t>
  </si>
  <si>
    <t xml:space="preserve">WB_Commercial_Mohave_County_AZ.csv</t>
  </si>
  <si>
    <t xml:space="preserve">AZ_MOH_Com_0001</t>
  </si>
  <si>
    <t xml:space="preserve">4737 Main St</t>
  </si>
  <si>
    <t xml:space="preserve">82946</t>
  </si>
  <si>
    <t xml:space="preserve">AZ_MOH_Com_0002</t>
  </si>
  <si>
    <t xml:space="preserve">7720 Main St</t>
  </si>
  <si>
    <t xml:space="preserve">92325</t>
  </si>
  <si>
    <t xml:space="preserve">AZ_MOH_Com_0003</t>
  </si>
  <si>
    <t xml:space="preserve">3250 Main St</t>
  </si>
  <si>
    <t xml:space="preserve">83695</t>
  </si>
  <si>
    <t xml:space="preserve">AZ_MOH_Com_0004</t>
  </si>
  <si>
    <t xml:space="preserve">7768 Main St</t>
  </si>
  <si>
    <t xml:space="preserve">86933</t>
  </si>
  <si>
    <t xml:space="preserve">AZ_MOH_Com_0005</t>
  </si>
  <si>
    <t xml:space="preserve">2245 Main St</t>
  </si>
  <si>
    <t xml:space="preserve">81496</t>
  </si>
  <si>
    <t xml:space="preserve">AZ_MOH_Com_0006</t>
  </si>
  <si>
    <t xml:space="preserve">9968 Main St</t>
  </si>
  <si>
    <t xml:space="preserve">86358</t>
  </si>
  <si>
    <t xml:space="preserve">AZ_MOH_Com_0007</t>
  </si>
  <si>
    <t xml:space="preserve">669 Main St</t>
  </si>
  <si>
    <t xml:space="preserve">87629</t>
  </si>
  <si>
    <t xml:space="preserve">AZ_MOH_Com_0008</t>
  </si>
  <si>
    <t xml:space="preserve">80678</t>
  </si>
  <si>
    <t xml:space="preserve">AZ_MOH_Com_0009</t>
  </si>
  <si>
    <t xml:space="preserve">5768 Main St</t>
  </si>
  <si>
    <t xml:space="preserve">91012</t>
  </si>
  <si>
    <t xml:space="preserve">AZ_MOH_Com_0010</t>
  </si>
  <si>
    <t xml:space="preserve">1665 Main St</t>
  </si>
  <si>
    <t xml:space="preserve">97038</t>
  </si>
  <si>
    <t xml:space="preserve">AZ_MOH_Com_0011</t>
  </si>
  <si>
    <t xml:space="preserve">4125 Main St</t>
  </si>
  <si>
    <t xml:space="preserve">95302</t>
  </si>
  <si>
    <t xml:space="preserve">AZ_MOH_Com_0012</t>
  </si>
  <si>
    <t xml:space="preserve">7404 Main St</t>
  </si>
  <si>
    <t xml:space="preserve">99754</t>
  </si>
  <si>
    <t xml:space="preserve">AZ_MOH_Com_0013</t>
  </si>
  <si>
    <t xml:space="preserve">1212 Main St</t>
  </si>
  <si>
    <t xml:space="preserve">97719</t>
  </si>
  <si>
    <t xml:space="preserve">AZ_MOH_Com_0014</t>
  </si>
  <si>
    <t xml:space="preserve">724 Main St</t>
  </si>
  <si>
    <t xml:space="preserve">82256</t>
  </si>
  <si>
    <t xml:space="preserve">AZ_MOH_Com_0015</t>
  </si>
  <si>
    <t xml:space="preserve">1621 Main St</t>
  </si>
  <si>
    <t xml:space="preserve">91113</t>
  </si>
  <si>
    <t xml:space="preserve">AZ_MOH_Com_0016</t>
  </si>
  <si>
    <t xml:space="preserve">7258 Main St</t>
  </si>
  <si>
    <t xml:space="preserve">90999</t>
  </si>
  <si>
    <t xml:space="preserve">AZ_MOH_Com_0017</t>
  </si>
  <si>
    <t xml:space="preserve">5227 Main St</t>
  </si>
  <si>
    <t xml:space="preserve">97302</t>
  </si>
  <si>
    <t xml:space="preserve">AZ_MOH_Com_0018</t>
  </si>
  <si>
    <t xml:space="preserve">6926 Main St</t>
  </si>
  <si>
    <t xml:space="preserve">83273</t>
  </si>
  <si>
    <t xml:space="preserve">AZ_MOH_Com_0019</t>
  </si>
  <si>
    <t xml:space="preserve">376 Main St</t>
  </si>
  <si>
    <t xml:space="preserve">94153</t>
  </si>
  <si>
    <t xml:space="preserve">AZ_MOH_Com_0020</t>
  </si>
  <si>
    <t xml:space="preserve">531 Main St</t>
  </si>
  <si>
    <t xml:space="preserve">96329</t>
  </si>
  <si>
    <t xml:space="preserve">AZ_MOH_Com_0021</t>
  </si>
  <si>
    <t xml:space="preserve">5548 Main St</t>
  </si>
  <si>
    <t xml:space="preserve">96065</t>
  </si>
  <si>
    <t xml:space="preserve">AZ_MOH_Com_0022</t>
  </si>
  <si>
    <t xml:space="preserve">91229</t>
  </si>
  <si>
    <t xml:space="preserve">AZ_MOH_Com_0023</t>
  </si>
  <si>
    <t xml:space="preserve">1417 Main St</t>
  </si>
  <si>
    <t xml:space="preserve">91109</t>
  </si>
  <si>
    <t xml:space="preserve">AZ_MOH_Com_0024</t>
  </si>
  <si>
    <t xml:space="preserve">2736 Main St</t>
  </si>
  <si>
    <t xml:space="preserve">81874</t>
  </si>
  <si>
    <t xml:space="preserve">AZ_MOH_Com_0025</t>
  </si>
  <si>
    <t xml:space="preserve">8458 Main St</t>
  </si>
  <si>
    <t xml:space="preserve">89234</t>
  </si>
  <si>
    <t xml:space="preserve">AZ_MOH_Com_0026</t>
  </si>
  <si>
    <t xml:space="preserve">4069 Main St</t>
  </si>
  <si>
    <t xml:space="preserve">82067</t>
  </si>
  <si>
    <t xml:space="preserve">AZ_MOH_Com_0027</t>
  </si>
  <si>
    <t xml:space="preserve">2140 Main St</t>
  </si>
  <si>
    <t xml:space="preserve">92044</t>
  </si>
  <si>
    <t xml:space="preserve">AZ_MOH_Com_0028</t>
  </si>
  <si>
    <t xml:space="preserve">8122 Main St</t>
  </si>
  <si>
    <t xml:space="preserve">84029</t>
  </si>
  <si>
    <t xml:space="preserve">AZ_MOH_Com_0029</t>
  </si>
  <si>
    <t xml:space="preserve">105 Main St</t>
  </si>
  <si>
    <t xml:space="preserve">92457</t>
  </si>
  <si>
    <t xml:space="preserve">AZ_MOH_Com_0030</t>
  </si>
  <si>
    <t xml:space="preserve">4428 Main St</t>
  </si>
  <si>
    <t xml:space="preserve">92158</t>
  </si>
  <si>
    <t xml:space="preserve">AZ_MOH_Com_0031</t>
  </si>
  <si>
    <t xml:space="preserve">7431 Main St</t>
  </si>
  <si>
    <t xml:space="preserve">93775</t>
  </si>
  <si>
    <t xml:space="preserve">AZ_MOH_Com_0032</t>
  </si>
  <si>
    <t xml:space="preserve">362 Main St</t>
  </si>
  <si>
    <t xml:space="preserve">93019</t>
  </si>
  <si>
    <t xml:space="preserve">AZ_MOH_Com_0033</t>
  </si>
  <si>
    <t xml:space="preserve">9988 Main St</t>
  </si>
  <si>
    <t xml:space="preserve">99544</t>
  </si>
  <si>
    <t xml:space="preserve">AZ_MOH_Com_0034</t>
  </si>
  <si>
    <t xml:space="preserve">415 Main St</t>
  </si>
  <si>
    <t xml:space="preserve">87630</t>
  </si>
  <si>
    <t xml:space="preserve">AZ_MOH_Com_0035</t>
  </si>
  <si>
    <t xml:space="preserve">2243 Main St</t>
  </si>
  <si>
    <t xml:space="preserve">99860</t>
  </si>
  <si>
    <t xml:space="preserve">AZ_MOH_Com_0036</t>
  </si>
  <si>
    <t xml:space="preserve">4735 Main St</t>
  </si>
  <si>
    <t xml:space="preserve">83542</t>
  </si>
  <si>
    <t xml:space="preserve">AZ_MOH_Com_0037</t>
  </si>
  <si>
    <t xml:space="preserve">1204 Main St</t>
  </si>
  <si>
    <t xml:space="preserve">83077</t>
  </si>
  <si>
    <t xml:space="preserve">AZ_MOH_Com_0038</t>
  </si>
  <si>
    <t xml:space="preserve">3325 Main St</t>
  </si>
  <si>
    <t xml:space="preserve">84738</t>
  </si>
  <si>
    <t xml:space="preserve">AZ_MOH_Com_0039</t>
  </si>
  <si>
    <t xml:space="preserve">3974 Main St</t>
  </si>
  <si>
    <t xml:space="preserve">86592</t>
  </si>
  <si>
    <t xml:space="preserve">AZ_MOH_Com_0040</t>
  </si>
  <si>
    <t xml:space="preserve">3023 Main St</t>
  </si>
  <si>
    <t xml:space="preserve">94683</t>
  </si>
  <si>
    <t xml:space="preserve">AZ_MOH_Com_0041</t>
  </si>
  <si>
    <t xml:space="preserve">7374 Main St</t>
  </si>
  <si>
    <t xml:space="preserve">85855</t>
  </si>
  <si>
    <t xml:space="preserve">AZ_MOH_Com_0042</t>
  </si>
  <si>
    <t xml:space="preserve">4852 Main St</t>
  </si>
  <si>
    <t xml:space="preserve">92045</t>
  </si>
  <si>
    <t xml:space="preserve">AZ_MOH_Com_0043</t>
  </si>
  <si>
    <t xml:space="preserve">8694 Main St</t>
  </si>
  <si>
    <t xml:space="preserve">92567</t>
  </si>
  <si>
    <t xml:space="preserve">AZ_MOH_Com_0044</t>
  </si>
  <si>
    <t xml:space="preserve">9242 Main St</t>
  </si>
  <si>
    <t xml:space="preserve">90643</t>
  </si>
  <si>
    <t xml:space="preserve">AZ_MOH_Com_0045</t>
  </si>
  <si>
    <t xml:space="preserve">8267 Main St</t>
  </si>
  <si>
    <t xml:space="preserve">AZ_MOH_Com_0046</t>
  </si>
  <si>
    <t xml:space="preserve">228 Main St</t>
  </si>
  <si>
    <t xml:space="preserve">86951</t>
  </si>
  <si>
    <t xml:space="preserve">AZ_MOH_Com_0047</t>
  </si>
  <si>
    <t xml:space="preserve">1094 Main St</t>
  </si>
  <si>
    <t xml:space="preserve">86912</t>
  </si>
  <si>
    <t xml:space="preserve">AZ_MOH_Com_0048</t>
  </si>
  <si>
    <t xml:space="preserve">4336 Main St</t>
  </si>
  <si>
    <t xml:space="preserve">82195</t>
  </si>
  <si>
    <t xml:space="preserve">AZ_MOH_Com_0049</t>
  </si>
  <si>
    <t xml:space="preserve">8924 Main St</t>
  </si>
  <si>
    <t xml:space="preserve">82410</t>
  </si>
  <si>
    <t xml:space="preserve">AZ_MOH_Com_0050</t>
  </si>
  <si>
    <t xml:space="preserve">761 Main St</t>
  </si>
  <si>
    <t xml:space="preserve">88024</t>
  </si>
  <si>
    <t xml:space="preserve">AZ_MOH_Com_0051</t>
  </si>
  <si>
    <t xml:space="preserve">819 Main St</t>
  </si>
  <si>
    <t xml:space="preserve">90646</t>
  </si>
  <si>
    <t xml:space="preserve">AZ_MOH_Com_0052</t>
  </si>
  <si>
    <t xml:space="preserve">9222 Main St</t>
  </si>
  <si>
    <t xml:space="preserve">83304</t>
  </si>
  <si>
    <t xml:space="preserve">AZ_MOH_Com_0053</t>
  </si>
  <si>
    <t xml:space="preserve">9487 Main St</t>
  </si>
  <si>
    <t xml:space="preserve">87319</t>
  </si>
  <si>
    <t xml:space="preserve">AZ_MOH_Com_0054</t>
  </si>
  <si>
    <t xml:space="preserve">7696 Main St</t>
  </si>
  <si>
    <t xml:space="preserve">96019</t>
  </si>
  <si>
    <t xml:space="preserve">AZ_MOH_Com_0055</t>
  </si>
  <si>
    <t xml:space="preserve">3289 Main St</t>
  </si>
  <si>
    <t xml:space="preserve">89466</t>
  </si>
  <si>
    <t xml:space="preserve">AZ_MOH_Com_0056</t>
  </si>
  <si>
    <t xml:space="preserve">9645 Main St</t>
  </si>
  <si>
    <t xml:space="preserve">98379</t>
  </si>
  <si>
    <t xml:space="preserve">AZ_MOH_Com_0057</t>
  </si>
  <si>
    <t xml:space="preserve">873 Main St</t>
  </si>
  <si>
    <t xml:space="preserve">96806</t>
  </si>
  <si>
    <t xml:space="preserve">AZ_MOH_Com_0058</t>
  </si>
  <si>
    <t xml:space="preserve">7620 Main St</t>
  </si>
  <si>
    <t xml:space="preserve">83379</t>
  </si>
  <si>
    <t xml:space="preserve">AZ_MOH_Com_0059</t>
  </si>
  <si>
    <t xml:space="preserve">4993 Main St</t>
  </si>
  <si>
    <t xml:space="preserve">92299</t>
  </si>
  <si>
    <t xml:space="preserve">AZ_MOH_Com_0060</t>
  </si>
  <si>
    <t xml:space="preserve">8544 Main St</t>
  </si>
  <si>
    <t xml:space="preserve">80938</t>
  </si>
  <si>
    <t xml:space="preserve">AZ_MOH_Com_0061</t>
  </si>
  <si>
    <t xml:space="preserve">9761 Main St</t>
  </si>
  <si>
    <t xml:space="preserve">87647</t>
  </si>
  <si>
    <t xml:space="preserve">AZ_MOH_Com_0062</t>
  </si>
  <si>
    <t xml:space="preserve">3367 Main St</t>
  </si>
  <si>
    <t xml:space="preserve">94948</t>
  </si>
  <si>
    <t xml:space="preserve">AZ_MOH_Com_0063</t>
  </si>
  <si>
    <t xml:space="preserve">6856 Main St</t>
  </si>
  <si>
    <t xml:space="preserve">84651</t>
  </si>
  <si>
    <t xml:space="preserve">AZ_MOH_Com_0064</t>
  </si>
  <si>
    <t xml:space="preserve">7747 Main St</t>
  </si>
  <si>
    <t xml:space="preserve">94848</t>
  </si>
  <si>
    <t xml:space="preserve">AZ_MOH_Com_0065</t>
  </si>
  <si>
    <t xml:space="preserve">5064 Main St</t>
  </si>
  <si>
    <t xml:space="preserve">97492</t>
  </si>
  <si>
    <t xml:space="preserve">AZ_MOH_Com_0066</t>
  </si>
  <si>
    <t xml:space="preserve">6021 Main St</t>
  </si>
  <si>
    <t xml:space="preserve">96907</t>
  </si>
  <si>
    <t xml:space="preserve">AZ_MOH_Com_0067</t>
  </si>
  <si>
    <t xml:space="preserve">6129 Main St</t>
  </si>
  <si>
    <t xml:space="preserve">90149</t>
  </si>
  <si>
    <t xml:space="preserve">AZ_MOH_Com_0068</t>
  </si>
  <si>
    <t xml:space="preserve">9041 Main St</t>
  </si>
  <si>
    <t xml:space="preserve">92244</t>
  </si>
  <si>
    <t xml:space="preserve">AZ_MOH_Com_0069</t>
  </si>
  <si>
    <t xml:space="preserve">9189 Main St</t>
  </si>
  <si>
    <t xml:space="preserve">95118</t>
  </si>
  <si>
    <t xml:space="preserve">AZ_MOH_Com_0070</t>
  </si>
  <si>
    <t xml:space="preserve">2360 Main St</t>
  </si>
  <si>
    <t xml:space="preserve">86845</t>
  </si>
  <si>
    <t xml:space="preserve">AZ_MOH_Com_0071</t>
  </si>
  <si>
    <t xml:space="preserve">3337 Main St</t>
  </si>
  <si>
    <t xml:space="preserve">86338</t>
  </si>
  <si>
    <t xml:space="preserve">AZ_MOH_Com_0072</t>
  </si>
  <si>
    <t xml:space="preserve">6268 Main St</t>
  </si>
  <si>
    <t xml:space="preserve">84614</t>
  </si>
  <si>
    <t xml:space="preserve">AZ_MOH_Com_0073</t>
  </si>
  <si>
    <t xml:space="preserve">6862 Main St</t>
  </si>
  <si>
    <t xml:space="preserve">81291</t>
  </si>
  <si>
    <t xml:space="preserve">AZ_MOH_Com_0074</t>
  </si>
  <si>
    <t xml:space="preserve">1919 Main St</t>
  </si>
  <si>
    <t xml:space="preserve">95239</t>
  </si>
  <si>
    <t xml:space="preserve">AZ_MOH_Com_0075</t>
  </si>
  <si>
    <t xml:space="preserve">8311 Main St</t>
  </si>
  <si>
    <t xml:space="preserve">98383</t>
  </si>
  <si>
    <t xml:space="preserve">AZ_MOH_Com_0076</t>
  </si>
  <si>
    <t xml:space="preserve">783 Main St</t>
  </si>
  <si>
    <t xml:space="preserve">84066</t>
  </si>
  <si>
    <t xml:space="preserve">AZ_MOH_Com_0077</t>
  </si>
  <si>
    <t xml:space="preserve">6427 Main St</t>
  </si>
  <si>
    <t xml:space="preserve">94323</t>
  </si>
  <si>
    <t xml:space="preserve">AZ_MOH_Com_0078</t>
  </si>
  <si>
    <t xml:space="preserve">2289 Main St</t>
  </si>
  <si>
    <t xml:space="preserve">84407</t>
  </si>
  <si>
    <t xml:space="preserve">AZ_MOH_Com_0079</t>
  </si>
  <si>
    <t xml:space="preserve">3151 Main St</t>
  </si>
  <si>
    <t xml:space="preserve">81188</t>
  </si>
  <si>
    <t xml:space="preserve">AZ_SAN_Res_0000</t>
  </si>
  <si>
    <t xml:space="preserve">9497 Main St</t>
  </si>
  <si>
    <t xml:space="preserve">Santa Cruz</t>
  </si>
  <si>
    <t xml:space="preserve">SANTA CRUZ</t>
  </si>
  <si>
    <t xml:space="preserve">92386</t>
  </si>
  <si>
    <t xml:space="preserve">WB_Residential_Santa_Cruz_County_AZ.csv</t>
  </si>
  <si>
    <t xml:space="preserve">AZ_SAN_Res_0001</t>
  </si>
  <si>
    <t xml:space="preserve">8769 Main St</t>
  </si>
  <si>
    <t xml:space="preserve">88361</t>
  </si>
  <si>
    <t xml:space="preserve">AZ_SAN_Res_0002</t>
  </si>
  <si>
    <t xml:space="preserve">291 Main St</t>
  </si>
  <si>
    <t xml:space="preserve">90068</t>
  </si>
  <si>
    <t xml:space="preserve">AZ_SAN_Res_0003</t>
  </si>
  <si>
    <t xml:space="preserve">99661</t>
  </si>
  <si>
    <t xml:space="preserve">AZ_SAN_Res_0004</t>
  </si>
  <si>
    <t xml:space="preserve">2255 Main St</t>
  </si>
  <si>
    <t xml:space="preserve">91239</t>
  </si>
  <si>
    <t xml:space="preserve">AZ_SAN_Res_0005</t>
  </si>
  <si>
    <t xml:space="preserve">6332 Main St</t>
  </si>
  <si>
    <t xml:space="preserve">95318</t>
  </si>
  <si>
    <t xml:space="preserve">AZ_SAN_Res_0006</t>
  </si>
  <si>
    <t xml:space="preserve">9969 Main St</t>
  </si>
  <si>
    <t xml:space="preserve">84949</t>
  </si>
  <si>
    <t xml:space="preserve">AZ_SAN_Res_0007</t>
  </si>
  <si>
    <t xml:space="preserve">5568 Main St</t>
  </si>
  <si>
    <t xml:space="preserve">90121</t>
  </si>
  <si>
    <t xml:space="preserve">AZ_SAN_Res_0008</t>
  </si>
  <si>
    <t xml:space="preserve">2303 Main St</t>
  </si>
  <si>
    <t xml:space="preserve">96545</t>
  </si>
  <si>
    <t xml:space="preserve">AZ_SAN_Res_0009</t>
  </si>
  <si>
    <t xml:space="preserve">9217 Main St</t>
  </si>
  <si>
    <t xml:space="preserve">97749</t>
  </si>
  <si>
    <t xml:space="preserve">AZ_SAN_Res_0010</t>
  </si>
  <si>
    <t xml:space="preserve">1737 Main St</t>
  </si>
  <si>
    <t xml:space="preserve">82324</t>
  </si>
  <si>
    <t xml:space="preserve">AZ_SAN_Res_0011</t>
  </si>
  <si>
    <t xml:space="preserve">3550 Main St</t>
  </si>
  <si>
    <t xml:space="preserve">80943</t>
  </si>
  <si>
    <t xml:space="preserve">AZ_SAN_Res_0012</t>
  </si>
  <si>
    <t xml:space="preserve">9392 Main St</t>
  </si>
  <si>
    <t xml:space="preserve">84741</t>
  </si>
  <si>
    <t xml:space="preserve">AZ_SAN_Res_0013</t>
  </si>
  <si>
    <t xml:space="preserve">7544 Main St</t>
  </si>
  <si>
    <t xml:space="preserve">99479</t>
  </si>
  <si>
    <t xml:space="preserve">AZ_SAN_Res_0014</t>
  </si>
  <si>
    <t xml:space="preserve">5077 Main St</t>
  </si>
  <si>
    <t xml:space="preserve">84644</t>
  </si>
  <si>
    <t xml:space="preserve">AZ_SAN_Res_0015</t>
  </si>
  <si>
    <t xml:space="preserve">6334 Main St</t>
  </si>
  <si>
    <t xml:space="preserve">99653</t>
  </si>
  <si>
    <t xml:space="preserve">AZ_SAN_Res_0016</t>
  </si>
  <si>
    <t xml:space="preserve">997 Main St</t>
  </si>
  <si>
    <t xml:space="preserve">83931</t>
  </si>
  <si>
    <t xml:space="preserve">AZ_SAN_Res_0017</t>
  </si>
  <si>
    <t xml:space="preserve">6338 Main St</t>
  </si>
  <si>
    <t xml:space="preserve">83837</t>
  </si>
  <si>
    <t xml:space="preserve">AZ_SAN_Res_0018</t>
  </si>
  <si>
    <t xml:space="preserve">6001 Main St</t>
  </si>
  <si>
    <t xml:space="preserve">83891</t>
  </si>
  <si>
    <t xml:space="preserve">AZ_SAN_Res_0019</t>
  </si>
  <si>
    <t xml:space="preserve">5458 Main St</t>
  </si>
  <si>
    <t xml:space="preserve">89753</t>
  </si>
  <si>
    <t xml:space="preserve">AZ_SAN_Res_0020</t>
  </si>
  <si>
    <t xml:space="preserve">2794 Main St</t>
  </si>
  <si>
    <t xml:space="preserve">96240</t>
  </si>
  <si>
    <t xml:space="preserve">AZ_SAN_Res_0021</t>
  </si>
  <si>
    <t xml:space="preserve">6431 Main St</t>
  </si>
  <si>
    <t xml:space="preserve">83894</t>
  </si>
  <si>
    <t xml:space="preserve">AZ_SAN_Res_0022</t>
  </si>
  <si>
    <t xml:space="preserve">2530 Main St</t>
  </si>
  <si>
    <t xml:space="preserve">87975</t>
  </si>
  <si>
    <t xml:space="preserve">AZ_SAN_Res_0023</t>
  </si>
  <si>
    <t xml:space="preserve">6133 Main St</t>
  </si>
  <si>
    <t xml:space="preserve">86952</t>
  </si>
  <si>
    <t xml:space="preserve">AZ_SAN_Res_0024</t>
  </si>
  <si>
    <t xml:space="preserve">319 Main St</t>
  </si>
  <si>
    <t xml:space="preserve">86094</t>
  </si>
  <si>
    <t xml:space="preserve">AZ_SAN_Res_0025</t>
  </si>
  <si>
    <t xml:space="preserve">1655 Main St</t>
  </si>
  <si>
    <t xml:space="preserve">99590</t>
  </si>
  <si>
    <t xml:space="preserve">AZ_SAN_Res_0026</t>
  </si>
  <si>
    <t xml:space="preserve">5315 Main St</t>
  </si>
  <si>
    <t xml:space="preserve">88471</t>
  </si>
  <si>
    <t xml:space="preserve">AZ_SAN_Res_0027</t>
  </si>
  <si>
    <t xml:space="preserve">6844 Main St</t>
  </si>
  <si>
    <t xml:space="preserve">85822</t>
  </si>
  <si>
    <t xml:space="preserve">AZ_SAN_Res_0028</t>
  </si>
  <si>
    <t xml:space="preserve">3224 Main St</t>
  </si>
  <si>
    <t xml:space="preserve">97444</t>
  </si>
  <si>
    <t xml:space="preserve">AZ_SAN_Res_0029</t>
  </si>
  <si>
    <t xml:space="preserve">2112 Main St</t>
  </si>
  <si>
    <t xml:space="preserve">87188</t>
  </si>
  <si>
    <t xml:space="preserve">AZ_SAN_Res_0030</t>
  </si>
  <si>
    <t xml:space="preserve">2785 Main St</t>
  </si>
  <si>
    <t xml:space="preserve">85450</t>
  </si>
  <si>
    <t xml:space="preserve">AZ_SAN_Res_0031</t>
  </si>
  <si>
    <t xml:space="preserve">2062 Main St</t>
  </si>
  <si>
    <t xml:space="preserve">81371</t>
  </si>
  <si>
    <t xml:space="preserve">AZ_SAN_Res_0032</t>
  </si>
  <si>
    <t xml:space="preserve">9247 Main St</t>
  </si>
  <si>
    <t xml:space="preserve">95488</t>
  </si>
  <si>
    <t xml:space="preserve">AZ_SAN_Res_0033</t>
  </si>
  <si>
    <t xml:space="preserve">498 Main St</t>
  </si>
  <si>
    <t xml:space="preserve">85523</t>
  </si>
  <si>
    <t xml:space="preserve">AZ_SAN_Res_0034</t>
  </si>
  <si>
    <t xml:space="preserve">3004 Main St</t>
  </si>
  <si>
    <t xml:space="preserve">82485</t>
  </si>
  <si>
    <t xml:space="preserve">AZ_SAN_Res_0035</t>
  </si>
  <si>
    <t xml:space="preserve">2653 Main St</t>
  </si>
  <si>
    <t xml:space="preserve">82757</t>
  </si>
  <si>
    <t xml:space="preserve">AZ_SAN_Res_0036</t>
  </si>
  <si>
    <t xml:space="preserve">6692 Main St</t>
  </si>
  <si>
    <t xml:space="preserve">89367</t>
  </si>
  <si>
    <t xml:space="preserve">AZ_SAN_Res_0037</t>
  </si>
  <si>
    <t xml:space="preserve">7885 Main St</t>
  </si>
  <si>
    <t xml:space="preserve">87645</t>
  </si>
  <si>
    <t xml:space="preserve">AZ_SAN_Res_0038</t>
  </si>
  <si>
    <t xml:space="preserve">1190 Main St</t>
  </si>
  <si>
    <t xml:space="preserve">98582</t>
  </si>
  <si>
    <t xml:space="preserve">AZ_SAN_Res_0039</t>
  </si>
  <si>
    <t xml:space="preserve">9698 Main St</t>
  </si>
  <si>
    <t xml:space="preserve">91474</t>
  </si>
  <si>
    <t xml:space="preserve">AZ_SAN_Res_0040</t>
  </si>
  <si>
    <t xml:space="preserve">3659 Main St</t>
  </si>
  <si>
    <t xml:space="preserve">97469</t>
  </si>
  <si>
    <t xml:space="preserve">AZ_SAN_Res_0041</t>
  </si>
  <si>
    <t xml:space="preserve">7106 Main St</t>
  </si>
  <si>
    <t xml:space="preserve">93021</t>
  </si>
  <si>
    <t xml:space="preserve">AZ_SAN_Res_0042</t>
  </si>
  <si>
    <t xml:space="preserve">155 Main St</t>
  </si>
  <si>
    <t xml:space="preserve">81271</t>
  </si>
  <si>
    <t xml:space="preserve">AZ_SAN_Res_0043</t>
  </si>
  <si>
    <t xml:space="preserve">9431 Main St</t>
  </si>
  <si>
    <t xml:space="preserve">82412</t>
  </si>
  <si>
    <t xml:space="preserve">AZ_SAN_Res_0044</t>
  </si>
  <si>
    <t xml:space="preserve">3846 Main St</t>
  </si>
  <si>
    <t xml:space="preserve">84729</t>
  </si>
  <si>
    <t xml:space="preserve">AZ_SAN_Res_0045</t>
  </si>
  <si>
    <t xml:space="preserve">4462 Main St</t>
  </si>
  <si>
    <t xml:space="preserve">89201</t>
  </si>
  <si>
    <t xml:space="preserve">AZ_SAN_Res_0046</t>
  </si>
  <si>
    <t xml:space="preserve">3874 Main St</t>
  </si>
  <si>
    <t xml:space="preserve">AZ_SAN_Res_0047</t>
  </si>
  <si>
    <t xml:space="preserve">8722 Main St</t>
  </si>
  <si>
    <t xml:space="preserve">94008</t>
  </si>
  <si>
    <t xml:space="preserve">AZ_SAN_Res_0048</t>
  </si>
  <si>
    <t xml:space="preserve">9822 Main St</t>
  </si>
  <si>
    <t xml:space="preserve">90878</t>
  </si>
  <si>
    <t xml:space="preserve">AZ_SAN_Res_0049</t>
  </si>
  <si>
    <t xml:space="preserve">4712 Main St</t>
  </si>
  <si>
    <t xml:space="preserve">94658</t>
  </si>
  <si>
    <t xml:space="preserve">AZ_SAN_Res_0050</t>
  </si>
  <si>
    <t xml:space="preserve">1982 Main St</t>
  </si>
  <si>
    <t xml:space="preserve">88466</t>
  </si>
  <si>
    <t xml:space="preserve">AZ_SAN_Res_0051</t>
  </si>
  <si>
    <t xml:space="preserve">7782 Main St</t>
  </si>
  <si>
    <t xml:space="preserve">86403</t>
  </si>
  <si>
    <t xml:space="preserve">AZ_SAN_Res_0052</t>
  </si>
  <si>
    <t xml:space="preserve">8850 Main St</t>
  </si>
  <si>
    <t xml:space="preserve">96776</t>
  </si>
  <si>
    <t xml:space="preserve">AZ_SAN_Res_0053</t>
  </si>
  <si>
    <t xml:space="preserve">215 Main St</t>
  </si>
  <si>
    <t xml:space="preserve">98912</t>
  </si>
  <si>
    <t xml:space="preserve">AZ_SAN_Res_0054</t>
  </si>
  <si>
    <t xml:space="preserve">8664 Main St</t>
  </si>
  <si>
    <t xml:space="preserve">AZ_SAN_Res_0055</t>
  </si>
  <si>
    <t xml:space="preserve">582 Main St</t>
  </si>
  <si>
    <t xml:space="preserve">93941</t>
  </si>
  <si>
    <t xml:space="preserve">AZ_SAN_Res_0056</t>
  </si>
  <si>
    <t xml:space="preserve">7785 Main St</t>
  </si>
  <si>
    <t xml:space="preserve">97701</t>
  </si>
  <si>
    <t xml:space="preserve">AZ_SAN_Res_0057</t>
  </si>
  <si>
    <t xml:space="preserve">1042 Main St</t>
  </si>
  <si>
    <t xml:space="preserve">85563</t>
  </si>
  <si>
    <t xml:space="preserve">AZ_SAN_Res_0058</t>
  </si>
  <si>
    <t xml:space="preserve">7083 Main St</t>
  </si>
  <si>
    <t xml:space="preserve">85558</t>
  </si>
  <si>
    <t xml:space="preserve">AZ_SAN_Res_0059</t>
  </si>
  <si>
    <t xml:space="preserve">1983 Main St</t>
  </si>
  <si>
    <t xml:space="preserve">87842</t>
  </si>
  <si>
    <t xml:space="preserve">AZ_SAN_Res_0060</t>
  </si>
  <si>
    <t xml:space="preserve">8553 Main St</t>
  </si>
  <si>
    <t xml:space="preserve">82948</t>
  </si>
  <si>
    <t xml:space="preserve">AZ_SAN_Res_0061</t>
  </si>
  <si>
    <t xml:space="preserve">9049 Main St</t>
  </si>
  <si>
    <t xml:space="preserve">80426</t>
  </si>
  <si>
    <t xml:space="preserve">AZ_SAN_Res_0062</t>
  </si>
  <si>
    <t xml:space="preserve">412 Main St</t>
  </si>
  <si>
    <t xml:space="preserve">96871</t>
  </si>
  <si>
    <t xml:space="preserve">AZ_SAN_Res_0063</t>
  </si>
  <si>
    <t xml:space="preserve">9400 Main St</t>
  </si>
  <si>
    <t xml:space="preserve">90447</t>
  </si>
  <si>
    <t xml:space="preserve">AZ_SAN_Res_0064</t>
  </si>
  <si>
    <t xml:space="preserve">7687 Main St</t>
  </si>
  <si>
    <t xml:space="preserve">86333</t>
  </si>
  <si>
    <t xml:space="preserve">AZ_SAN_Res_0065</t>
  </si>
  <si>
    <t xml:space="preserve">87914</t>
  </si>
  <si>
    <t xml:space="preserve">AZ_SAN_Res_0066</t>
  </si>
  <si>
    <t xml:space="preserve">9544 Main St</t>
  </si>
  <si>
    <t xml:space="preserve">98659</t>
  </si>
  <si>
    <t xml:space="preserve">AZ_SAN_Res_0067</t>
  </si>
  <si>
    <t xml:space="preserve">8747 Main St</t>
  </si>
  <si>
    <t xml:space="preserve">82293</t>
  </si>
  <si>
    <t xml:space="preserve">AZ_SAN_Res_0068</t>
  </si>
  <si>
    <t xml:space="preserve">6220 Main St</t>
  </si>
  <si>
    <t xml:space="preserve">90328</t>
  </si>
  <si>
    <t xml:space="preserve">AZ_SAN_Res_0069</t>
  </si>
  <si>
    <t xml:space="preserve">7091 Main St</t>
  </si>
  <si>
    <t xml:space="preserve">99998</t>
  </si>
  <si>
    <t xml:space="preserve">AZ_SAN_Res_0070</t>
  </si>
  <si>
    <t xml:space="preserve">7822 Main St</t>
  </si>
  <si>
    <t xml:space="preserve">87344</t>
  </si>
  <si>
    <t xml:space="preserve">AZ_SAN_Res_0071</t>
  </si>
  <si>
    <t xml:space="preserve">8225 Main St</t>
  </si>
  <si>
    <t xml:space="preserve">98738</t>
  </si>
  <si>
    <t xml:space="preserve">AZ_SAN_Res_0072</t>
  </si>
  <si>
    <t xml:space="preserve">4512 Main St</t>
  </si>
  <si>
    <t xml:space="preserve">90382</t>
  </si>
  <si>
    <t xml:space="preserve">AZ_SAN_Res_0073</t>
  </si>
  <si>
    <t xml:space="preserve">8163 Main St</t>
  </si>
  <si>
    <t xml:space="preserve">83105</t>
  </si>
  <si>
    <t xml:space="preserve">AZ_SAN_Res_0074</t>
  </si>
  <si>
    <t xml:space="preserve">935 Main St</t>
  </si>
  <si>
    <t xml:space="preserve">AZ_SAN_Res_0075</t>
  </si>
  <si>
    <t xml:space="preserve">6647 Main St</t>
  </si>
  <si>
    <t xml:space="preserve">97633</t>
  </si>
  <si>
    <t xml:space="preserve">AZ_SAN_Res_0076</t>
  </si>
  <si>
    <t xml:space="preserve">4524 Main St</t>
  </si>
  <si>
    <t xml:space="preserve">95289</t>
  </si>
  <si>
    <t xml:space="preserve">AZ_SAN_Res_0077</t>
  </si>
  <si>
    <t xml:space="preserve">9055 Main St</t>
  </si>
  <si>
    <t xml:space="preserve">95136</t>
  </si>
  <si>
    <t xml:space="preserve">AZ_SAN_Res_0078</t>
  </si>
  <si>
    <t xml:space="preserve">3018 Main St</t>
  </si>
  <si>
    <t xml:space="preserve">93492</t>
  </si>
  <si>
    <t xml:space="preserve">AZ_SAN_Res_0079</t>
  </si>
  <si>
    <t xml:space="preserve">336 Main St</t>
  </si>
  <si>
    <t xml:space="preserve">96293</t>
  </si>
  <si>
    <t xml:space="preserve">AZ_SAN_Com_0000</t>
  </si>
  <si>
    <t xml:space="preserve">9469 Main St</t>
  </si>
  <si>
    <t xml:space="preserve">87394</t>
  </si>
  <si>
    <t xml:space="preserve">WB_Commercial_Santa_Cruz_County_AZ.csv</t>
  </si>
  <si>
    <t xml:space="preserve">AZ_SAN_Com_0001</t>
  </si>
  <si>
    <t xml:space="preserve">3901 Main St</t>
  </si>
  <si>
    <t xml:space="preserve">93552</t>
  </si>
  <si>
    <t xml:space="preserve">AZ_SAN_Com_0002</t>
  </si>
  <si>
    <t xml:space="preserve">4372 Main St</t>
  </si>
  <si>
    <t xml:space="preserve">95028</t>
  </si>
  <si>
    <t xml:space="preserve">AZ_SAN_Com_0003</t>
  </si>
  <si>
    <t xml:space="preserve">8836 Main St</t>
  </si>
  <si>
    <t xml:space="preserve">84810</t>
  </si>
  <si>
    <t xml:space="preserve">AZ_SAN_Com_0004</t>
  </si>
  <si>
    <t xml:space="preserve">7829 Main St</t>
  </si>
  <si>
    <t xml:space="preserve">95768</t>
  </si>
  <si>
    <t xml:space="preserve">AZ_SAN_Com_0005</t>
  </si>
  <si>
    <t xml:space="preserve">9907 Main St</t>
  </si>
  <si>
    <t xml:space="preserve">88017</t>
  </si>
  <si>
    <t xml:space="preserve">AZ_SAN_Com_0006</t>
  </si>
  <si>
    <t xml:space="preserve">7373 Main St</t>
  </si>
  <si>
    <t xml:space="preserve">95853</t>
  </si>
  <si>
    <t xml:space="preserve">AZ_SAN_Com_0007</t>
  </si>
  <si>
    <t xml:space="preserve">2117 Main St</t>
  </si>
  <si>
    <t xml:space="preserve">84089</t>
  </si>
  <si>
    <t xml:space="preserve">AZ_SAN_Com_0008</t>
  </si>
  <si>
    <t xml:space="preserve">6066 Main St</t>
  </si>
  <si>
    <t xml:space="preserve">99365</t>
  </si>
  <si>
    <t xml:space="preserve">AZ_SAN_Com_0009</t>
  </si>
  <si>
    <t xml:space="preserve">8507 Main St</t>
  </si>
  <si>
    <t xml:space="preserve">87408</t>
  </si>
  <si>
    <t xml:space="preserve">AZ_SAN_Com_0010</t>
  </si>
  <si>
    <t xml:space="preserve">9090 Main St</t>
  </si>
  <si>
    <t xml:space="preserve">83060</t>
  </si>
  <si>
    <t xml:space="preserve">AZ_SAN_Com_0011</t>
  </si>
  <si>
    <t xml:space="preserve">3826 Main St</t>
  </si>
  <si>
    <t xml:space="preserve">96538</t>
  </si>
  <si>
    <t xml:space="preserve">AZ_SAN_Com_0012</t>
  </si>
  <si>
    <t xml:space="preserve">8693 Main St</t>
  </si>
  <si>
    <t xml:space="preserve">98154</t>
  </si>
  <si>
    <t xml:space="preserve">AZ_SAN_Com_0013</t>
  </si>
  <si>
    <t xml:space="preserve">7125 Main St</t>
  </si>
  <si>
    <t xml:space="preserve">87444</t>
  </si>
  <si>
    <t xml:space="preserve">AZ_SAN_Com_0014</t>
  </si>
  <si>
    <t xml:space="preserve">2874 Main St</t>
  </si>
  <si>
    <t xml:space="preserve">84723</t>
  </si>
  <si>
    <t xml:space="preserve">AZ_SAN_Com_0015</t>
  </si>
  <si>
    <t xml:space="preserve">4951 Main St</t>
  </si>
  <si>
    <t xml:space="preserve">89950</t>
  </si>
  <si>
    <t xml:space="preserve">AZ_SAN_Com_0016</t>
  </si>
  <si>
    <t xml:space="preserve">1020 Main St</t>
  </si>
  <si>
    <t xml:space="preserve">99725</t>
  </si>
  <si>
    <t xml:space="preserve">AZ_SAN_Com_0017</t>
  </si>
  <si>
    <t xml:space="preserve">6803 Main St</t>
  </si>
  <si>
    <t xml:space="preserve">96322</t>
  </si>
  <si>
    <t xml:space="preserve">AZ_SAN_Com_0018</t>
  </si>
  <si>
    <t xml:space="preserve">5946 Main St</t>
  </si>
  <si>
    <t xml:space="preserve">82370</t>
  </si>
  <si>
    <t xml:space="preserve">AZ_SAN_Com_0019</t>
  </si>
  <si>
    <t xml:space="preserve">4703 Main St</t>
  </si>
  <si>
    <t xml:space="preserve">90571</t>
  </si>
  <si>
    <t xml:space="preserve">AZ_SAN_Com_0020</t>
  </si>
  <si>
    <t xml:space="preserve">4689 Main St</t>
  </si>
  <si>
    <t xml:space="preserve">83986</t>
  </si>
  <si>
    <t xml:space="preserve">AZ_SAN_Com_0021</t>
  </si>
  <si>
    <t xml:space="preserve">9257 Main St</t>
  </si>
  <si>
    <t xml:space="preserve">96482</t>
  </si>
  <si>
    <t xml:space="preserve">AZ_SAN_Com_0022</t>
  </si>
  <si>
    <t xml:space="preserve">389 Main St</t>
  </si>
  <si>
    <t xml:space="preserve">95490</t>
  </si>
  <si>
    <t xml:space="preserve">AZ_SAN_Com_0023</t>
  </si>
  <si>
    <t xml:space="preserve">1254 Main St</t>
  </si>
  <si>
    <t xml:space="preserve">94611</t>
  </si>
  <si>
    <t xml:space="preserve">AZ_SAN_Com_0024</t>
  </si>
  <si>
    <t xml:space="preserve">7168 Main St</t>
  </si>
  <si>
    <t xml:space="preserve">96790</t>
  </si>
  <si>
    <t xml:space="preserve">AZ_SAN_Com_0025</t>
  </si>
  <si>
    <t xml:space="preserve">9951 Main St</t>
  </si>
  <si>
    <t xml:space="preserve">92873</t>
  </si>
  <si>
    <t xml:space="preserve">AZ_SAN_Com_0026</t>
  </si>
  <si>
    <t xml:space="preserve">4033 Main St</t>
  </si>
  <si>
    <t xml:space="preserve">88593</t>
  </si>
  <si>
    <t xml:space="preserve">AZ_SAN_Com_0027</t>
  </si>
  <si>
    <t xml:space="preserve">84835</t>
  </si>
  <si>
    <t xml:space="preserve">AZ_SAN_Com_0028</t>
  </si>
  <si>
    <t xml:space="preserve">7643 Main St</t>
  </si>
  <si>
    <t xml:space="preserve">89138</t>
  </si>
  <si>
    <t xml:space="preserve">AZ_SAN_Com_0029</t>
  </si>
  <si>
    <t xml:space="preserve">1882 Main St</t>
  </si>
  <si>
    <t xml:space="preserve">88484</t>
  </si>
  <si>
    <t xml:space="preserve">AZ_SAN_Com_0030</t>
  </si>
  <si>
    <t xml:space="preserve">87731</t>
  </si>
  <si>
    <t xml:space="preserve">AZ_SAN_Com_0031</t>
  </si>
  <si>
    <t xml:space="preserve">8125 Main St</t>
  </si>
  <si>
    <t xml:space="preserve">89643</t>
  </si>
  <si>
    <t xml:space="preserve">AZ_SAN_Com_0032</t>
  </si>
  <si>
    <t xml:space="preserve">4173 Main St</t>
  </si>
  <si>
    <t xml:space="preserve">94509</t>
  </si>
  <si>
    <t xml:space="preserve">AZ_SAN_Com_0033</t>
  </si>
  <si>
    <t xml:space="preserve">9456 Main St</t>
  </si>
  <si>
    <t xml:space="preserve">81615</t>
  </si>
  <si>
    <t xml:space="preserve">AZ_SAN_Com_0034</t>
  </si>
  <si>
    <t xml:space="preserve">4076 Main St</t>
  </si>
  <si>
    <t xml:space="preserve">96156</t>
  </si>
  <si>
    <t xml:space="preserve">AZ_SAN_Com_0035</t>
  </si>
  <si>
    <t xml:space="preserve">99516</t>
  </si>
  <si>
    <t xml:space="preserve">AZ_SAN_Com_0036</t>
  </si>
  <si>
    <t xml:space="preserve">6062 Main St</t>
  </si>
  <si>
    <t xml:space="preserve">94814</t>
  </si>
  <si>
    <t xml:space="preserve">AZ_SAN_Com_0037</t>
  </si>
  <si>
    <t xml:space="preserve">1695 Main St</t>
  </si>
  <si>
    <t xml:space="preserve">88406</t>
  </si>
  <si>
    <t xml:space="preserve">AZ_SAN_Com_0038</t>
  </si>
  <si>
    <t xml:space="preserve">8825 Main St</t>
  </si>
  <si>
    <t xml:space="preserve">85046</t>
  </si>
  <si>
    <t xml:space="preserve">AZ_SAN_Com_0039</t>
  </si>
  <si>
    <t xml:space="preserve">634 Main St</t>
  </si>
  <si>
    <t xml:space="preserve">81042</t>
  </si>
  <si>
    <t xml:space="preserve">AZ_SAN_Com_0040</t>
  </si>
  <si>
    <t xml:space="preserve">6731 Main St</t>
  </si>
  <si>
    <t xml:space="preserve">98093</t>
  </si>
  <si>
    <t xml:space="preserve">AZ_SAN_Com_0041</t>
  </si>
  <si>
    <t xml:space="preserve">3663 Main St</t>
  </si>
  <si>
    <t xml:space="preserve">87331</t>
  </si>
  <si>
    <t xml:space="preserve">AZ_SAN_Com_0042</t>
  </si>
  <si>
    <t xml:space="preserve">95516</t>
  </si>
  <si>
    <t xml:space="preserve">AZ_SAN_Com_0043</t>
  </si>
  <si>
    <t xml:space="preserve">521 Main St</t>
  </si>
  <si>
    <t xml:space="preserve">86071</t>
  </si>
  <si>
    <t xml:space="preserve">AZ_SAN_Com_0044</t>
  </si>
  <si>
    <t xml:space="preserve">3932 Main St</t>
  </si>
  <si>
    <t xml:space="preserve">84838</t>
  </si>
  <si>
    <t xml:space="preserve">AZ_SAN_Com_0045</t>
  </si>
  <si>
    <t xml:space="preserve">9129 Main St</t>
  </si>
  <si>
    <t xml:space="preserve">92897</t>
  </si>
  <si>
    <t xml:space="preserve">AZ_SAN_Com_0046</t>
  </si>
  <si>
    <t xml:space="preserve">265 Main St</t>
  </si>
  <si>
    <t xml:space="preserve">83162</t>
  </si>
  <si>
    <t xml:space="preserve">AZ_SAN_Com_0047</t>
  </si>
  <si>
    <t xml:space="preserve">5559 Main St</t>
  </si>
  <si>
    <t xml:space="preserve">81344</t>
  </si>
  <si>
    <t xml:space="preserve">AZ_SAN_Com_0048</t>
  </si>
  <si>
    <t xml:space="preserve">1004 Main St</t>
  </si>
  <si>
    <t xml:space="preserve">87989</t>
  </si>
  <si>
    <t xml:space="preserve">AZ_SAN_Com_0049</t>
  </si>
  <si>
    <t xml:space="preserve">5249 Main St</t>
  </si>
  <si>
    <t xml:space="preserve">93693</t>
  </si>
  <si>
    <t xml:space="preserve">AZ_SAN_Com_0050</t>
  </si>
  <si>
    <t xml:space="preserve">2057 Main St</t>
  </si>
  <si>
    <t xml:space="preserve">98580</t>
  </si>
  <si>
    <t xml:space="preserve">AZ_SAN_Com_0051</t>
  </si>
  <si>
    <t xml:space="preserve">4547 Main St</t>
  </si>
  <si>
    <t xml:space="preserve">91004</t>
  </si>
  <si>
    <t xml:space="preserve">AZ_SAN_Com_0052</t>
  </si>
  <si>
    <t xml:space="preserve">647 Main St</t>
  </si>
  <si>
    <t xml:space="preserve">97485</t>
  </si>
  <si>
    <t xml:space="preserve">AZ_SAN_Com_0053</t>
  </si>
  <si>
    <t xml:space="preserve">3168 Main St</t>
  </si>
  <si>
    <t xml:space="preserve">87898</t>
  </si>
  <si>
    <t xml:space="preserve">AZ_SAN_Com_0054</t>
  </si>
  <si>
    <t xml:space="preserve">744 Main St</t>
  </si>
  <si>
    <t xml:space="preserve">93818</t>
  </si>
  <si>
    <t xml:space="preserve">AZ_SAN_Com_0055</t>
  </si>
  <si>
    <t xml:space="preserve">5823 Main St</t>
  </si>
  <si>
    <t xml:space="preserve">92195</t>
  </si>
  <si>
    <t xml:space="preserve">AZ_SAN_Com_0056</t>
  </si>
  <si>
    <t xml:space="preserve">4203 Main St</t>
  </si>
  <si>
    <t xml:space="preserve">89457</t>
  </si>
  <si>
    <t xml:space="preserve">AZ_SAN_Com_0057</t>
  </si>
  <si>
    <t xml:space="preserve">2419 Main St</t>
  </si>
  <si>
    <t xml:space="preserve">90887</t>
  </si>
  <si>
    <t xml:space="preserve">AZ_SAN_Com_0058</t>
  </si>
  <si>
    <t xml:space="preserve">4331 Main St</t>
  </si>
  <si>
    <t xml:space="preserve">83251</t>
  </si>
  <si>
    <t xml:space="preserve">AZ_SAN_Com_0059</t>
  </si>
  <si>
    <t xml:space="preserve">4746 Main St</t>
  </si>
  <si>
    <t xml:space="preserve">97472</t>
  </si>
  <si>
    <t xml:space="preserve">AZ_SAN_Com_0060</t>
  </si>
  <si>
    <t xml:space="preserve">1293 Main St</t>
  </si>
  <si>
    <t xml:space="preserve">90611</t>
  </si>
  <si>
    <t xml:space="preserve">AZ_SAN_Com_0061</t>
  </si>
  <si>
    <t xml:space="preserve">1817 Main St</t>
  </si>
  <si>
    <t xml:space="preserve">96949</t>
  </si>
  <si>
    <t xml:space="preserve">AZ_SAN_Com_0062</t>
  </si>
  <si>
    <t xml:space="preserve">4646 Main St</t>
  </si>
  <si>
    <t xml:space="preserve">87756</t>
  </si>
  <si>
    <t xml:space="preserve">AZ_SAN_Com_0063</t>
  </si>
  <si>
    <t xml:space="preserve">8919 Main St</t>
  </si>
  <si>
    <t xml:space="preserve">98354</t>
  </si>
  <si>
    <t xml:space="preserve">AZ_SAN_Com_0064</t>
  </si>
  <si>
    <t xml:space="preserve">8895 Main St</t>
  </si>
  <si>
    <t xml:space="preserve">96897</t>
  </si>
  <si>
    <t xml:space="preserve">AZ_SAN_Com_0065</t>
  </si>
  <si>
    <t xml:space="preserve">3031 Main St</t>
  </si>
  <si>
    <t xml:space="preserve">88445</t>
  </si>
  <si>
    <t xml:space="preserve">AZ_SAN_Com_0066</t>
  </si>
  <si>
    <t xml:space="preserve">5521 Main St</t>
  </si>
  <si>
    <t xml:space="preserve">91010</t>
  </si>
  <si>
    <t xml:space="preserve">AZ_SAN_Com_0067</t>
  </si>
  <si>
    <t xml:space="preserve">5631 Main St</t>
  </si>
  <si>
    <t xml:space="preserve">85801</t>
  </si>
  <si>
    <t xml:space="preserve">AZ_SAN_Com_0068</t>
  </si>
  <si>
    <t xml:space="preserve">7945 Main St</t>
  </si>
  <si>
    <t xml:space="preserve">82382</t>
  </si>
  <si>
    <t xml:space="preserve">AZ_SAN_Com_0069</t>
  </si>
  <si>
    <t xml:space="preserve">3095 Main St</t>
  </si>
  <si>
    <t xml:space="preserve">86170</t>
  </si>
  <si>
    <t xml:space="preserve">AZ_SAN_Com_0070</t>
  </si>
  <si>
    <t xml:space="preserve">2536 Main St</t>
  </si>
  <si>
    <t xml:space="preserve">90839</t>
  </si>
  <si>
    <t xml:space="preserve">AZ_SAN_Com_0071</t>
  </si>
  <si>
    <t xml:space="preserve">4840 Main St</t>
  </si>
  <si>
    <t xml:space="preserve">95754</t>
  </si>
  <si>
    <t xml:space="preserve">AZ_SAN_Com_0072</t>
  </si>
  <si>
    <t xml:space="preserve">9094 Main St</t>
  </si>
  <si>
    <t xml:space="preserve">85453</t>
  </si>
  <si>
    <t xml:space="preserve">AZ_SAN_Com_0073</t>
  </si>
  <si>
    <t xml:space="preserve">6194 Main St</t>
  </si>
  <si>
    <t xml:space="preserve">96049</t>
  </si>
  <si>
    <t xml:space="preserve">AZ_SAN_Com_0074</t>
  </si>
  <si>
    <t xml:space="preserve">4389 Main St</t>
  </si>
  <si>
    <t xml:space="preserve">99829</t>
  </si>
  <si>
    <t xml:space="preserve">AZ_SAN_Com_0075</t>
  </si>
  <si>
    <t xml:space="preserve">2720 Main St</t>
  </si>
  <si>
    <t xml:space="preserve">84941</t>
  </si>
  <si>
    <t xml:space="preserve">AZ_SAN_Com_0076</t>
  </si>
  <si>
    <t xml:space="preserve">8153 Main St</t>
  </si>
  <si>
    <t xml:space="preserve">89571</t>
  </si>
  <si>
    <t xml:space="preserve">AZ_SAN_Com_0077</t>
  </si>
  <si>
    <t xml:space="preserve">4400 Main St</t>
  </si>
  <si>
    <t xml:space="preserve">86780</t>
  </si>
  <si>
    <t xml:space="preserve">AZ_SAN_Com_0078</t>
  </si>
  <si>
    <t xml:space="preserve">9123 Main St</t>
  </si>
  <si>
    <t xml:space="preserve">98842</t>
  </si>
  <si>
    <t xml:space="preserve">AZ_SAN_Com_0079</t>
  </si>
  <si>
    <t xml:space="preserve">6657 Main St</t>
  </si>
  <si>
    <t xml:space="preserve">93277</t>
  </si>
  <si>
    <t xml:space="preserve">NM_BER_Res_0000</t>
  </si>
  <si>
    <t xml:space="preserve">Owner NM 1</t>
  </si>
  <si>
    <t xml:space="preserve">4764 Main St</t>
  </si>
  <si>
    <t xml:space="preserve">Bernalillo</t>
  </si>
  <si>
    <t xml:space="preserve">NM</t>
  </si>
  <si>
    <t xml:space="preserve">BERNALILLO</t>
  </si>
  <si>
    <t xml:space="preserve">85511</t>
  </si>
  <si>
    <t xml:space="preserve">tier_3_nm_wa_licensed</t>
  </si>
  <si>
    <t xml:space="preserve">WB_Residential_Bernalillo_County_NM.csv</t>
  </si>
  <si>
    <t xml:space="preserve">NM_BER_Res_0001</t>
  </si>
  <si>
    <t xml:space="preserve">Owner NM 2</t>
  </si>
  <si>
    <t xml:space="preserve">164 Main St</t>
  </si>
  <si>
    <t xml:space="preserve">NM_BER_Res_0002</t>
  </si>
  <si>
    <t xml:space="preserve">Owner NM 3</t>
  </si>
  <si>
    <t xml:space="preserve">2293 Main St</t>
  </si>
  <si>
    <t xml:space="preserve">83345</t>
  </si>
  <si>
    <t xml:space="preserve">NM_BER_Res_0003</t>
  </si>
  <si>
    <t xml:space="preserve">Owner NM 4</t>
  </si>
  <si>
    <t xml:space="preserve">6507 Main St</t>
  </si>
  <si>
    <t xml:space="preserve">83252</t>
  </si>
  <si>
    <t xml:space="preserve">NM_BER_Res_0004</t>
  </si>
  <si>
    <t xml:space="preserve">Owner NM 5</t>
  </si>
  <si>
    <t xml:space="preserve">512 Main St</t>
  </si>
  <si>
    <t xml:space="preserve">98175</t>
  </si>
  <si>
    <t xml:space="preserve">NM_BER_Res_0005</t>
  </si>
  <si>
    <t xml:space="preserve">Owner NM 6</t>
  </si>
  <si>
    <t xml:space="preserve">2540 Main St</t>
  </si>
  <si>
    <t xml:space="preserve">85741</t>
  </si>
  <si>
    <t xml:space="preserve">NM_BER_Res_0006</t>
  </si>
  <si>
    <t xml:space="preserve">Owner NM 7</t>
  </si>
  <si>
    <t xml:space="preserve">5430 Main St</t>
  </si>
  <si>
    <t xml:space="preserve">88150</t>
  </si>
  <si>
    <t xml:space="preserve">NM_BER_Res_0007</t>
  </si>
  <si>
    <t xml:space="preserve">Owner NM 8</t>
  </si>
  <si>
    <t xml:space="preserve">9846 Main St</t>
  </si>
  <si>
    <t xml:space="preserve">87572</t>
  </si>
  <si>
    <t xml:space="preserve">NM_BER_Res_0008</t>
  </si>
  <si>
    <t xml:space="preserve">Owner NM 9</t>
  </si>
  <si>
    <t xml:space="preserve">2343 Main St</t>
  </si>
  <si>
    <t xml:space="preserve">81171</t>
  </si>
  <si>
    <t xml:space="preserve">NM_BER_Res_0009</t>
  </si>
  <si>
    <t xml:space="preserve">Owner NM 10</t>
  </si>
  <si>
    <t xml:space="preserve">7612 Main St</t>
  </si>
  <si>
    <t xml:space="preserve">83154</t>
  </si>
  <si>
    <t xml:space="preserve">NM_BER_Res_0010</t>
  </si>
  <si>
    <t xml:space="preserve">Owner NM 11</t>
  </si>
  <si>
    <t xml:space="preserve">3535 Main St</t>
  </si>
  <si>
    <t xml:space="preserve">93677</t>
  </si>
  <si>
    <t xml:space="preserve">NM_BER_Res_0011</t>
  </si>
  <si>
    <t xml:space="preserve">Owner NM 12</t>
  </si>
  <si>
    <t xml:space="preserve">755 Main St</t>
  </si>
  <si>
    <t xml:space="preserve">98459</t>
  </si>
  <si>
    <t xml:space="preserve">NM_BER_Res_0012</t>
  </si>
  <si>
    <t xml:space="preserve">Owner NM 13</t>
  </si>
  <si>
    <t xml:space="preserve">4375 Main St</t>
  </si>
  <si>
    <t xml:space="preserve">94127</t>
  </si>
  <si>
    <t xml:space="preserve">NM_BER_Res_0013</t>
  </si>
  <si>
    <t xml:space="preserve">Owner NM 14</t>
  </si>
  <si>
    <t xml:space="preserve">9430 Main St</t>
  </si>
  <si>
    <t xml:space="preserve">85274</t>
  </si>
  <si>
    <t xml:space="preserve">NM_BER_Res_0014</t>
  </si>
  <si>
    <t xml:space="preserve">Owner NM 15</t>
  </si>
  <si>
    <t xml:space="preserve">4820 Main St</t>
  </si>
  <si>
    <t xml:space="preserve">89333</t>
  </si>
  <si>
    <t xml:space="preserve">NM_BER_Res_0015</t>
  </si>
  <si>
    <t xml:space="preserve">Owner NM 16</t>
  </si>
  <si>
    <t xml:space="preserve">9779 Main St</t>
  </si>
  <si>
    <t xml:space="preserve">90400</t>
  </si>
  <si>
    <t xml:space="preserve">NM_BER_Res_0016</t>
  </si>
  <si>
    <t xml:space="preserve">Owner NM 17</t>
  </si>
  <si>
    <t xml:space="preserve">7835 Main St</t>
  </si>
  <si>
    <t xml:space="preserve">87535</t>
  </si>
  <si>
    <t xml:space="preserve">NM_BER_Res_0017</t>
  </si>
  <si>
    <t xml:space="preserve">Owner NM 18</t>
  </si>
  <si>
    <t xml:space="preserve">4634 Main St</t>
  </si>
  <si>
    <t xml:space="preserve">92494</t>
  </si>
  <si>
    <t xml:space="preserve">NM_BER_Res_0018</t>
  </si>
  <si>
    <t xml:space="preserve">Owner NM 19</t>
  </si>
  <si>
    <t xml:space="preserve">6948 Main St</t>
  </si>
  <si>
    <t xml:space="preserve">95544</t>
  </si>
  <si>
    <t xml:space="preserve">NM_BER_Res_0019</t>
  </si>
  <si>
    <t xml:space="preserve">Owner NM 20</t>
  </si>
  <si>
    <t xml:space="preserve">3957 Main St</t>
  </si>
  <si>
    <t xml:space="preserve">99331</t>
  </si>
  <si>
    <t xml:space="preserve">NM_BER_Res_0020</t>
  </si>
  <si>
    <t xml:space="preserve">Owner NM 21</t>
  </si>
  <si>
    <t xml:space="preserve">3082 Main St</t>
  </si>
  <si>
    <t xml:space="preserve">81972</t>
  </si>
  <si>
    <t xml:space="preserve">NM_BER_Res_0021</t>
  </si>
  <si>
    <t xml:space="preserve">Owner NM 22</t>
  </si>
  <si>
    <t xml:space="preserve">7111 Main St</t>
  </si>
  <si>
    <t xml:space="preserve">93843</t>
  </si>
  <si>
    <t xml:space="preserve">NM_BER_Res_0022</t>
  </si>
  <si>
    <t xml:space="preserve">Owner NM 23</t>
  </si>
  <si>
    <t xml:space="preserve">2389 Main St</t>
  </si>
  <si>
    <t xml:space="preserve">83522</t>
  </si>
  <si>
    <t xml:space="preserve">NM_BER_Res_0023</t>
  </si>
  <si>
    <t xml:space="preserve">Owner NM 24</t>
  </si>
  <si>
    <t xml:space="preserve">7455 Main St</t>
  </si>
  <si>
    <t xml:space="preserve">82203</t>
  </si>
  <si>
    <t xml:space="preserve">NM_BER_Res_0024</t>
  </si>
  <si>
    <t xml:space="preserve">Owner NM 25</t>
  </si>
  <si>
    <t xml:space="preserve">2454 Main St</t>
  </si>
  <si>
    <t xml:space="preserve">85370</t>
  </si>
  <si>
    <t xml:space="preserve">NM_BER_Res_0025</t>
  </si>
  <si>
    <t xml:space="preserve">Owner NM 26</t>
  </si>
  <si>
    <t xml:space="preserve">3210 Main St</t>
  </si>
  <si>
    <t xml:space="preserve">94663</t>
  </si>
  <si>
    <t xml:space="preserve">NM_BER_Res_0026</t>
  </si>
  <si>
    <t xml:space="preserve">Owner NM 27</t>
  </si>
  <si>
    <t xml:space="preserve">7230 Main St</t>
  </si>
  <si>
    <t xml:space="preserve">83902</t>
  </si>
  <si>
    <t xml:space="preserve">NM_BER_Res_0027</t>
  </si>
  <si>
    <t xml:space="preserve">Owner NM 28</t>
  </si>
  <si>
    <t xml:space="preserve">2178 Main St</t>
  </si>
  <si>
    <t xml:space="preserve">97956</t>
  </si>
  <si>
    <t xml:space="preserve">NM_BER_Res_0028</t>
  </si>
  <si>
    <t xml:space="preserve">Owner NM 29</t>
  </si>
  <si>
    <t xml:space="preserve">3844 Main St</t>
  </si>
  <si>
    <t xml:space="preserve">87554</t>
  </si>
  <si>
    <t xml:space="preserve">NM_BER_Res_0029</t>
  </si>
  <si>
    <t xml:space="preserve">Owner NM 30</t>
  </si>
  <si>
    <t xml:space="preserve">3332 Main St</t>
  </si>
  <si>
    <t xml:space="preserve">NM_BER_Res_0030</t>
  </si>
  <si>
    <t xml:space="preserve">Owner NM 31</t>
  </si>
  <si>
    <t xml:space="preserve">5634 Main St</t>
  </si>
  <si>
    <t xml:space="preserve">80792</t>
  </si>
  <si>
    <t xml:space="preserve">NM_BER_Res_0031</t>
  </si>
  <si>
    <t xml:space="preserve">Owner NM 32</t>
  </si>
  <si>
    <t xml:space="preserve">8448 Main St</t>
  </si>
  <si>
    <t xml:space="preserve">99932</t>
  </si>
  <si>
    <t xml:space="preserve">NM_BER_Res_0032</t>
  </si>
  <si>
    <t xml:space="preserve">Owner NM 33</t>
  </si>
  <si>
    <t xml:space="preserve">8714 Main St</t>
  </si>
  <si>
    <t xml:space="preserve">85753</t>
  </si>
  <si>
    <t xml:space="preserve">NM_BER_Res_0033</t>
  </si>
  <si>
    <t xml:space="preserve">Owner NM 34</t>
  </si>
  <si>
    <t xml:space="preserve">8165 Main St</t>
  </si>
  <si>
    <t xml:space="preserve">96127</t>
  </si>
  <si>
    <t xml:space="preserve">NM_BER_Res_0034</t>
  </si>
  <si>
    <t xml:space="preserve">Owner NM 35</t>
  </si>
  <si>
    <t xml:space="preserve">4468 Main St</t>
  </si>
  <si>
    <t xml:space="preserve">92636</t>
  </si>
  <si>
    <t xml:space="preserve">NM_BER_Res_0035</t>
  </si>
  <si>
    <t xml:space="preserve">Owner NM 36</t>
  </si>
  <si>
    <t xml:space="preserve">5294 Main St</t>
  </si>
  <si>
    <t xml:space="preserve">86623</t>
  </si>
  <si>
    <t xml:space="preserve">NM_BER_Res_0036</t>
  </si>
  <si>
    <t xml:space="preserve">Owner NM 37</t>
  </si>
  <si>
    <t xml:space="preserve">7645 Main St</t>
  </si>
  <si>
    <t xml:space="preserve">84794</t>
  </si>
  <si>
    <t xml:space="preserve">NM_BER_Res_0037</t>
  </si>
  <si>
    <t xml:space="preserve">Owner NM 38</t>
  </si>
  <si>
    <t xml:space="preserve">2165 Main St</t>
  </si>
  <si>
    <t xml:space="preserve">98632</t>
  </si>
  <si>
    <t xml:space="preserve">NM_BER_Res_0038</t>
  </si>
  <si>
    <t xml:space="preserve">Owner NM 39</t>
  </si>
  <si>
    <t xml:space="preserve">7909 Main St</t>
  </si>
  <si>
    <t xml:space="preserve">82421</t>
  </si>
  <si>
    <t xml:space="preserve">NM_BER_Res_0039</t>
  </si>
  <si>
    <t xml:space="preserve">Owner NM 40</t>
  </si>
  <si>
    <t xml:space="preserve">9371 Main St</t>
  </si>
  <si>
    <t xml:space="preserve">94897</t>
  </si>
  <si>
    <t xml:space="preserve">NM_BER_Res_0040</t>
  </si>
  <si>
    <t xml:space="preserve">Owner NM 41</t>
  </si>
  <si>
    <t xml:space="preserve">7679 Main St</t>
  </si>
  <si>
    <t xml:space="preserve">87233</t>
  </si>
  <si>
    <t xml:space="preserve">NM_BER_Res_0041</t>
  </si>
  <si>
    <t xml:space="preserve">Owner NM 42</t>
  </si>
  <si>
    <t xml:space="preserve">6469 Main St</t>
  </si>
  <si>
    <t xml:space="preserve">82069</t>
  </si>
  <si>
    <t xml:space="preserve">NM_BER_Res_0042</t>
  </si>
  <si>
    <t xml:space="preserve">Owner NM 43</t>
  </si>
  <si>
    <t xml:space="preserve">2327 Main St</t>
  </si>
  <si>
    <t xml:space="preserve">87530</t>
  </si>
  <si>
    <t xml:space="preserve">NM_BER_Res_0043</t>
  </si>
  <si>
    <t xml:space="preserve">Owner NM 44</t>
  </si>
  <si>
    <t xml:space="preserve">6965 Main St</t>
  </si>
  <si>
    <t xml:space="preserve">81029</t>
  </si>
  <si>
    <t xml:space="preserve">NM_BER_Res_0044</t>
  </si>
  <si>
    <t xml:space="preserve">Owner NM 45</t>
  </si>
  <si>
    <t xml:space="preserve">8234 Main St</t>
  </si>
  <si>
    <t xml:space="preserve">97595</t>
  </si>
  <si>
    <t xml:space="preserve">NM_BER_Res_0045</t>
  </si>
  <si>
    <t xml:space="preserve">Owner NM 46</t>
  </si>
  <si>
    <t xml:space="preserve">5582 Main St</t>
  </si>
  <si>
    <t xml:space="preserve">81791</t>
  </si>
  <si>
    <t xml:space="preserve">NM_BER_Res_0046</t>
  </si>
  <si>
    <t xml:space="preserve">Owner NM 47</t>
  </si>
  <si>
    <t xml:space="preserve">94772</t>
  </si>
  <si>
    <t xml:space="preserve">NM_BER_Res_0047</t>
  </si>
  <si>
    <t xml:space="preserve">Owner NM 48</t>
  </si>
  <si>
    <t xml:space="preserve">5803 Main St</t>
  </si>
  <si>
    <t xml:space="preserve">83965</t>
  </si>
  <si>
    <t xml:space="preserve">NM_BER_Res_0048</t>
  </si>
  <si>
    <t xml:space="preserve">Owner NM 49</t>
  </si>
  <si>
    <t xml:space="preserve">7225 Main St</t>
  </si>
  <si>
    <t xml:space="preserve">87164</t>
  </si>
  <si>
    <t xml:space="preserve">NM_BER_Res_0049</t>
  </si>
  <si>
    <t xml:space="preserve">Owner NM 50</t>
  </si>
  <si>
    <t xml:space="preserve">3000 Main St</t>
  </si>
  <si>
    <t xml:space="preserve">81076</t>
  </si>
  <si>
    <t xml:space="preserve">NM_BER_Res_0050</t>
  </si>
  <si>
    <t xml:space="preserve">Owner NM 51</t>
  </si>
  <si>
    <t xml:space="preserve">317 Main St</t>
  </si>
  <si>
    <t xml:space="preserve">96447</t>
  </si>
  <si>
    <t xml:space="preserve">NM_BER_Res_0051</t>
  </si>
  <si>
    <t xml:space="preserve">Owner NM 52</t>
  </si>
  <si>
    <t xml:space="preserve">660 Main St</t>
  </si>
  <si>
    <t xml:space="preserve">85237</t>
  </si>
  <si>
    <t xml:space="preserve">NM_BER_Res_0052</t>
  </si>
  <si>
    <t xml:space="preserve">Owner NM 53</t>
  </si>
  <si>
    <t xml:space="preserve">3001 Main St</t>
  </si>
  <si>
    <t xml:space="preserve">85267</t>
  </si>
  <si>
    <t xml:space="preserve">NM_BER_Res_0053</t>
  </si>
  <si>
    <t xml:space="preserve">Owner NM 54</t>
  </si>
  <si>
    <t xml:space="preserve">1465 Main St</t>
  </si>
  <si>
    <t xml:space="preserve">89195</t>
  </si>
  <si>
    <t xml:space="preserve">NM_BER_Res_0054</t>
  </si>
  <si>
    <t xml:space="preserve">Owner NM 55</t>
  </si>
  <si>
    <t xml:space="preserve">7065 Main St</t>
  </si>
  <si>
    <t xml:space="preserve">81449</t>
  </si>
  <si>
    <t xml:space="preserve">NM_BER_Res_0055</t>
  </si>
  <si>
    <t xml:space="preserve">Owner NM 56</t>
  </si>
  <si>
    <t xml:space="preserve">3702 Main St</t>
  </si>
  <si>
    <t xml:space="preserve">93871</t>
  </si>
  <si>
    <t xml:space="preserve">NM_BER_Res_0056</t>
  </si>
  <si>
    <t xml:space="preserve">Owner NM 57</t>
  </si>
  <si>
    <t xml:space="preserve">299 Main St</t>
  </si>
  <si>
    <t xml:space="preserve">91771</t>
  </si>
  <si>
    <t xml:space="preserve">NM_BER_Res_0057</t>
  </si>
  <si>
    <t xml:space="preserve">Owner NM 58</t>
  </si>
  <si>
    <t xml:space="preserve">7205 Main St</t>
  </si>
  <si>
    <t xml:space="preserve">90486</t>
  </si>
  <si>
    <t xml:space="preserve">NM_BER_Res_0058</t>
  </si>
  <si>
    <t xml:space="preserve">Owner NM 59</t>
  </si>
  <si>
    <t xml:space="preserve">85989</t>
  </si>
  <si>
    <t xml:space="preserve">NM_BER_Res_0059</t>
  </si>
  <si>
    <t xml:space="preserve">Owner NM 60</t>
  </si>
  <si>
    <t xml:space="preserve">9343 Main St</t>
  </si>
  <si>
    <t xml:space="preserve">84436</t>
  </si>
  <si>
    <t xml:space="preserve">NM_BER_Com_0000</t>
  </si>
  <si>
    <t xml:space="preserve">84616</t>
  </si>
  <si>
    <t xml:space="preserve">WB_Commercial_Bernalillo_County_NM.csv</t>
  </si>
  <si>
    <t xml:space="preserve">NM_BER_Com_0001</t>
  </si>
  <si>
    <t xml:space="preserve">1365 Main St</t>
  </si>
  <si>
    <t xml:space="preserve">NM_BER_Com_0002</t>
  </si>
  <si>
    <t xml:space="preserve">593 Main St</t>
  </si>
  <si>
    <t xml:space="preserve">81445</t>
  </si>
  <si>
    <t xml:space="preserve">NM_BER_Com_0003</t>
  </si>
  <si>
    <t xml:space="preserve">3538 Main St</t>
  </si>
  <si>
    <t xml:space="preserve">84055</t>
  </si>
  <si>
    <t xml:space="preserve">NM_BER_Com_0004</t>
  </si>
  <si>
    <t xml:space="preserve">7774 Main St</t>
  </si>
  <si>
    <t xml:space="preserve">89990</t>
  </si>
  <si>
    <t xml:space="preserve">NM_BER_Com_0005</t>
  </si>
  <si>
    <t xml:space="preserve">5852 Main St</t>
  </si>
  <si>
    <t xml:space="preserve">86648</t>
  </si>
  <si>
    <t xml:space="preserve">NM_BER_Com_0006</t>
  </si>
  <si>
    <t xml:space="preserve">7479 Main St</t>
  </si>
  <si>
    <t xml:space="preserve">89300</t>
  </si>
  <si>
    <t xml:space="preserve">NM_BER_Com_0007</t>
  </si>
  <si>
    <t xml:space="preserve">1808 Main St</t>
  </si>
  <si>
    <t xml:space="preserve">NM_BER_Com_0008</t>
  </si>
  <si>
    <t xml:space="preserve">1868 Main St</t>
  </si>
  <si>
    <t xml:space="preserve">90011</t>
  </si>
  <si>
    <t xml:space="preserve">NM_BER_Com_0009</t>
  </si>
  <si>
    <t xml:space="preserve">9785 Main St</t>
  </si>
  <si>
    <t xml:space="preserve">96674</t>
  </si>
  <si>
    <t xml:space="preserve">NM_BER_Com_0010</t>
  </si>
  <si>
    <t xml:space="preserve">7163 Main St</t>
  </si>
  <si>
    <t xml:space="preserve">82545</t>
  </si>
  <si>
    <t xml:space="preserve">NM_BER_Com_0011</t>
  </si>
  <si>
    <t xml:space="preserve">9633 Main St</t>
  </si>
  <si>
    <t xml:space="preserve">80330</t>
  </si>
  <si>
    <t xml:space="preserve">NM_BER_Com_0012</t>
  </si>
  <si>
    <t xml:space="preserve">8152 Main St</t>
  </si>
  <si>
    <t xml:space="preserve">99250</t>
  </si>
  <si>
    <t xml:space="preserve">NM_BER_Com_0013</t>
  </si>
  <si>
    <t xml:space="preserve">9140 Main St</t>
  </si>
  <si>
    <t xml:space="preserve">95414</t>
  </si>
  <si>
    <t xml:space="preserve">NM_BER_Com_0014</t>
  </si>
  <si>
    <t xml:space="preserve">4197 Main St</t>
  </si>
  <si>
    <t xml:space="preserve">80278</t>
  </si>
  <si>
    <t xml:space="preserve">NM_BER_Com_0015</t>
  </si>
  <si>
    <t xml:space="preserve">3841 Main St</t>
  </si>
  <si>
    <t xml:space="preserve">84708</t>
  </si>
  <si>
    <t xml:space="preserve">NM_BER_Com_0016</t>
  </si>
  <si>
    <t xml:space="preserve">5783 Main St</t>
  </si>
  <si>
    <t xml:space="preserve">81299</t>
  </si>
  <si>
    <t xml:space="preserve">NM_BER_Com_0017</t>
  </si>
  <si>
    <t xml:space="preserve">6812 Main St</t>
  </si>
  <si>
    <t xml:space="preserve">84682</t>
  </si>
  <si>
    <t xml:space="preserve">NM_BER_Com_0018</t>
  </si>
  <si>
    <t xml:space="preserve">3008 Main St</t>
  </si>
  <si>
    <t xml:space="preserve">84367</t>
  </si>
  <si>
    <t xml:space="preserve">NM_BER_Com_0019</t>
  </si>
  <si>
    <t xml:space="preserve">2046 Main St</t>
  </si>
  <si>
    <t xml:space="preserve">90313</t>
  </si>
  <si>
    <t xml:space="preserve">NM_BER_Com_0020</t>
  </si>
  <si>
    <t xml:space="preserve">4784 Main St</t>
  </si>
  <si>
    <t xml:space="preserve">94712</t>
  </si>
  <si>
    <t xml:space="preserve">NM_BER_Com_0021</t>
  </si>
  <si>
    <t xml:space="preserve">7330 Main St</t>
  </si>
  <si>
    <t xml:space="preserve">94819</t>
  </si>
  <si>
    <t xml:space="preserve">NM_BER_Com_0022</t>
  </si>
  <si>
    <t xml:space="preserve">6401 Main St</t>
  </si>
  <si>
    <t xml:space="preserve">93267</t>
  </si>
  <si>
    <t xml:space="preserve">NM_BER_Com_0023</t>
  </si>
  <si>
    <t xml:space="preserve">9288 Main St</t>
  </si>
  <si>
    <t xml:space="preserve">82158</t>
  </si>
  <si>
    <t xml:space="preserve">NM_BER_Com_0024</t>
  </si>
  <si>
    <t xml:space="preserve">5583 Main St</t>
  </si>
  <si>
    <t xml:space="preserve">97049</t>
  </si>
  <si>
    <t xml:space="preserve">NM_BER_Com_0025</t>
  </si>
  <si>
    <t xml:space="preserve">1944 Main St</t>
  </si>
  <si>
    <t xml:space="preserve">82226</t>
  </si>
  <si>
    <t xml:space="preserve">NM_BER_Com_0026</t>
  </si>
  <si>
    <t xml:space="preserve">4971 Main St</t>
  </si>
  <si>
    <t xml:space="preserve">97592</t>
  </si>
  <si>
    <t xml:space="preserve">NM_BER_Com_0027</t>
  </si>
  <si>
    <t xml:space="preserve">1053 Main St</t>
  </si>
  <si>
    <t xml:space="preserve">86735</t>
  </si>
  <si>
    <t xml:space="preserve">NM_BER_Com_0028</t>
  </si>
  <si>
    <t xml:space="preserve">93493</t>
  </si>
  <si>
    <t xml:space="preserve">NM_BER_Com_0029</t>
  </si>
  <si>
    <t xml:space="preserve">3532 Main St</t>
  </si>
  <si>
    <t xml:space="preserve">97435</t>
  </si>
  <si>
    <t xml:space="preserve">NM_BER_Com_0030</t>
  </si>
  <si>
    <t xml:space="preserve">99598</t>
  </si>
  <si>
    <t xml:space="preserve">NM_BER_Com_0031</t>
  </si>
  <si>
    <t xml:space="preserve">6227 Main St</t>
  </si>
  <si>
    <t xml:space="preserve">92410</t>
  </si>
  <si>
    <t xml:space="preserve">NM_BER_Com_0032</t>
  </si>
  <si>
    <t xml:space="preserve">7865 Main St</t>
  </si>
  <si>
    <t xml:space="preserve">81062</t>
  </si>
  <si>
    <t xml:space="preserve">NM_BER_Com_0033</t>
  </si>
  <si>
    <t xml:space="preserve">4617 Main St</t>
  </si>
  <si>
    <t xml:space="preserve">99348</t>
  </si>
  <si>
    <t xml:space="preserve">NM_BER_Com_0034</t>
  </si>
  <si>
    <t xml:space="preserve">9134 Main St</t>
  </si>
  <si>
    <t xml:space="preserve">80817</t>
  </si>
  <si>
    <t xml:space="preserve">NM_BER_Com_0035</t>
  </si>
  <si>
    <t xml:space="preserve">8235 Main St</t>
  </si>
  <si>
    <t xml:space="preserve">90936</t>
  </si>
  <si>
    <t xml:space="preserve">NM_BER_Com_0036</t>
  </si>
  <si>
    <t xml:space="preserve">2136 Main St</t>
  </si>
  <si>
    <t xml:space="preserve">95204</t>
  </si>
  <si>
    <t xml:space="preserve">NM_BER_Com_0037</t>
  </si>
  <si>
    <t xml:space="preserve">1370 Main St</t>
  </si>
  <si>
    <t xml:space="preserve">91994</t>
  </si>
  <si>
    <t xml:space="preserve">NM_BER_Com_0038</t>
  </si>
  <si>
    <t xml:space="preserve">2974 Main St</t>
  </si>
  <si>
    <t xml:space="preserve">99057</t>
  </si>
  <si>
    <t xml:space="preserve">NM_BER_Com_0039</t>
  </si>
  <si>
    <t xml:space="preserve">99708</t>
  </si>
  <si>
    <t xml:space="preserve">NM_BER_Com_0040</t>
  </si>
  <si>
    <t xml:space="preserve">860 Main St</t>
  </si>
  <si>
    <t xml:space="preserve">98504</t>
  </si>
  <si>
    <t xml:space="preserve">NM_BER_Com_0041</t>
  </si>
  <si>
    <t xml:space="preserve">9770 Main St</t>
  </si>
  <si>
    <t xml:space="preserve">86996</t>
  </si>
  <si>
    <t xml:space="preserve">NM_BER_Com_0042</t>
  </si>
  <si>
    <t xml:space="preserve">3634 Main St</t>
  </si>
  <si>
    <t xml:space="preserve">94831</t>
  </si>
  <si>
    <t xml:space="preserve">NM_BER_Com_0043</t>
  </si>
  <si>
    <t xml:space="preserve">3777 Main St</t>
  </si>
  <si>
    <t xml:space="preserve">86513</t>
  </si>
  <si>
    <t xml:space="preserve">NM_BER_Com_0044</t>
  </si>
  <si>
    <t xml:space="preserve">1959 Main St</t>
  </si>
  <si>
    <t xml:space="preserve">88100</t>
  </si>
  <si>
    <t xml:space="preserve">NM_BER_Com_0045</t>
  </si>
  <si>
    <t xml:space="preserve">6968 Main St</t>
  </si>
  <si>
    <t xml:space="preserve">97202</t>
  </si>
  <si>
    <t xml:space="preserve">NM_BER_Com_0046</t>
  </si>
  <si>
    <t xml:space="preserve">1229 Main St</t>
  </si>
  <si>
    <t xml:space="preserve">83243</t>
  </si>
  <si>
    <t xml:space="preserve">NM_BER_Com_0047</t>
  </si>
  <si>
    <t xml:space="preserve">5549 Main St</t>
  </si>
  <si>
    <t xml:space="preserve">90803</t>
  </si>
  <si>
    <t xml:space="preserve">NM_BER_Com_0048</t>
  </si>
  <si>
    <t xml:space="preserve">5551 Main St</t>
  </si>
  <si>
    <t xml:space="preserve">NM_BER_Com_0049</t>
  </si>
  <si>
    <t xml:space="preserve">5124 Main St</t>
  </si>
  <si>
    <t xml:space="preserve">97234</t>
  </si>
  <si>
    <t xml:space="preserve">NM_BER_Com_0050</t>
  </si>
  <si>
    <t xml:space="preserve">5328 Main St</t>
  </si>
  <si>
    <t xml:space="preserve">88562</t>
  </si>
  <si>
    <t xml:space="preserve">NM_BER_Com_0051</t>
  </si>
  <si>
    <t xml:space="preserve">127 Main St</t>
  </si>
  <si>
    <t xml:space="preserve">97184</t>
  </si>
  <si>
    <t xml:space="preserve">NM_BER_Com_0052</t>
  </si>
  <si>
    <t xml:space="preserve">2617 Main St</t>
  </si>
  <si>
    <t xml:space="preserve">NM_BER_Com_0053</t>
  </si>
  <si>
    <t xml:space="preserve">5423 Main St</t>
  </si>
  <si>
    <t xml:space="preserve">93387</t>
  </si>
  <si>
    <t xml:space="preserve">NM_BER_Com_0054</t>
  </si>
  <si>
    <t xml:space="preserve">2674 Main St</t>
  </si>
  <si>
    <t xml:space="preserve">89197</t>
  </si>
  <si>
    <t xml:space="preserve">NM_BER_Com_0055</t>
  </si>
  <si>
    <t xml:space="preserve">1040 Main St</t>
  </si>
  <si>
    <t xml:space="preserve">93523</t>
  </si>
  <si>
    <t xml:space="preserve">NM_BER_Com_0056</t>
  </si>
  <si>
    <t xml:space="preserve">2247 Main St</t>
  </si>
  <si>
    <t xml:space="preserve">89733</t>
  </si>
  <si>
    <t xml:space="preserve">NM_BER_Com_0057</t>
  </si>
  <si>
    <t xml:space="preserve">9684 Main St</t>
  </si>
  <si>
    <t xml:space="preserve">81914</t>
  </si>
  <si>
    <t xml:space="preserve">NM_BER_Com_0058</t>
  </si>
  <si>
    <t xml:space="preserve">5518 Main St</t>
  </si>
  <si>
    <t xml:space="preserve">93524</t>
  </si>
  <si>
    <t xml:space="preserve">NM_BER_Com_0059</t>
  </si>
  <si>
    <t xml:space="preserve">84517</t>
  </si>
  <si>
    <t xml:space="preserve">NM_DON_Res_0000</t>
  </si>
  <si>
    <t xml:space="preserve">8400 Main St</t>
  </si>
  <si>
    <t xml:space="preserve">Dona Ana</t>
  </si>
  <si>
    <t xml:space="preserve">DONA ANA</t>
  </si>
  <si>
    <t xml:space="preserve">95081</t>
  </si>
  <si>
    <t xml:space="preserve">WB_Residential_Dona_Ana_County_NM.csv</t>
  </si>
  <si>
    <t xml:space="preserve">NM_DON_Res_0001</t>
  </si>
  <si>
    <t xml:space="preserve">7836 Main St</t>
  </si>
  <si>
    <t xml:space="preserve">92768</t>
  </si>
  <si>
    <t xml:space="preserve">NM_DON_Res_0002</t>
  </si>
  <si>
    <t xml:space="preserve">2984 Main St</t>
  </si>
  <si>
    <t xml:space="preserve">85979</t>
  </si>
  <si>
    <t xml:space="preserve">NM_DON_Res_0003</t>
  </si>
  <si>
    <t xml:space="preserve">152 Main St</t>
  </si>
  <si>
    <t xml:space="preserve">96703</t>
  </si>
  <si>
    <t xml:space="preserve">NM_DON_Res_0004</t>
  </si>
  <si>
    <t xml:space="preserve">1231 Main St</t>
  </si>
  <si>
    <t xml:space="preserve">81008</t>
  </si>
  <si>
    <t xml:space="preserve">NM_DON_Res_0005</t>
  </si>
  <si>
    <t xml:space="preserve">5910 Main St</t>
  </si>
  <si>
    <t xml:space="preserve">98657</t>
  </si>
  <si>
    <t xml:space="preserve">NM_DON_Res_0006</t>
  </si>
  <si>
    <t xml:space="preserve">2358 Main St</t>
  </si>
  <si>
    <t xml:space="preserve">80837</t>
  </si>
  <si>
    <t xml:space="preserve">NM_DON_Res_0007</t>
  </si>
  <si>
    <t xml:space="preserve">3555 Main St</t>
  </si>
  <si>
    <t xml:space="preserve">92942</t>
  </si>
  <si>
    <t xml:space="preserve">NM_DON_Res_0008</t>
  </si>
  <si>
    <t xml:space="preserve">4154 Main St</t>
  </si>
  <si>
    <t xml:space="preserve">99663</t>
  </si>
  <si>
    <t xml:space="preserve">NM_DON_Res_0009</t>
  </si>
  <si>
    <t xml:space="preserve">6514 Main St</t>
  </si>
  <si>
    <t xml:space="preserve">95004</t>
  </si>
  <si>
    <t xml:space="preserve">NM_DON_Res_0010</t>
  </si>
  <si>
    <t xml:space="preserve">7789 Main St</t>
  </si>
  <si>
    <t xml:space="preserve">95144</t>
  </si>
  <si>
    <t xml:space="preserve">NM_DON_Res_0011</t>
  </si>
  <si>
    <t xml:space="preserve">5903 Main St</t>
  </si>
  <si>
    <t xml:space="preserve">98230</t>
  </si>
  <si>
    <t xml:space="preserve">NM_DON_Res_0012</t>
  </si>
  <si>
    <t xml:space="preserve">172 Main St</t>
  </si>
  <si>
    <t xml:space="preserve">91934</t>
  </si>
  <si>
    <t xml:space="preserve">NM_DON_Res_0013</t>
  </si>
  <si>
    <t xml:space="preserve">93196</t>
  </si>
  <si>
    <t xml:space="preserve">NM_DON_Res_0014</t>
  </si>
  <si>
    <t xml:space="preserve">4272 Main St</t>
  </si>
  <si>
    <t xml:space="preserve">NM_DON_Res_0015</t>
  </si>
  <si>
    <t xml:space="preserve">9282 Main St</t>
  </si>
  <si>
    <t xml:space="preserve">84854</t>
  </si>
  <si>
    <t xml:space="preserve">NM_DON_Res_0016</t>
  </si>
  <si>
    <t xml:space="preserve">5725 Main St</t>
  </si>
  <si>
    <t xml:space="preserve">97336</t>
  </si>
  <si>
    <t xml:space="preserve">NM_DON_Res_0017</t>
  </si>
  <si>
    <t xml:space="preserve">2387 Main St</t>
  </si>
  <si>
    <t xml:space="preserve">NM_DON_Res_0018</t>
  </si>
  <si>
    <t xml:space="preserve">2550 Main St</t>
  </si>
  <si>
    <t xml:space="preserve">82713</t>
  </si>
  <si>
    <t xml:space="preserve">NM_DON_Res_0019</t>
  </si>
  <si>
    <t xml:space="preserve">4748 Main St</t>
  </si>
  <si>
    <t xml:space="preserve">91909</t>
  </si>
  <si>
    <t xml:space="preserve">NM_DON_Res_0020</t>
  </si>
  <si>
    <t xml:space="preserve">5044 Main St</t>
  </si>
  <si>
    <t xml:space="preserve">94548</t>
  </si>
  <si>
    <t xml:space="preserve">NM_DON_Res_0021</t>
  </si>
  <si>
    <t xml:space="preserve">9405 Main St</t>
  </si>
  <si>
    <t xml:space="preserve">NM_DON_Res_0022</t>
  </si>
  <si>
    <t xml:space="preserve">7520 Main St</t>
  </si>
  <si>
    <t xml:space="preserve">95577</t>
  </si>
  <si>
    <t xml:space="preserve">NM_DON_Res_0023</t>
  </si>
  <si>
    <t xml:space="preserve">8449 Main St</t>
  </si>
  <si>
    <t xml:space="preserve">82004</t>
  </si>
  <si>
    <t xml:space="preserve">NM_DON_Res_0024</t>
  </si>
  <si>
    <t xml:space="preserve">6067 Main St</t>
  </si>
  <si>
    <t xml:space="preserve">93105</t>
  </si>
  <si>
    <t xml:space="preserve">NM_DON_Res_0025</t>
  </si>
  <si>
    <t xml:space="preserve">7515 Main St</t>
  </si>
  <si>
    <t xml:space="preserve">97056</t>
  </si>
  <si>
    <t xml:space="preserve">NM_DON_Res_0026</t>
  </si>
  <si>
    <t xml:space="preserve">4627 Main St</t>
  </si>
  <si>
    <t xml:space="preserve">93087</t>
  </si>
  <si>
    <t xml:space="preserve">NM_DON_Res_0027</t>
  </si>
  <si>
    <t xml:space="preserve">4593 Main St</t>
  </si>
  <si>
    <t xml:space="preserve">NM_DON_Res_0028</t>
  </si>
  <si>
    <t xml:space="preserve">253 Main St</t>
  </si>
  <si>
    <t xml:space="preserve">91811</t>
  </si>
  <si>
    <t xml:space="preserve">NM_DON_Res_0029</t>
  </si>
  <si>
    <t xml:space="preserve">9557 Main St</t>
  </si>
  <si>
    <t xml:space="preserve">82616</t>
  </si>
  <si>
    <t xml:space="preserve">NM_DON_Res_0030</t>
  </si>
  <si>
    <t xml:space="preserve">6399 Main St</t>
  </si>
  <si>
    <t xml:space="preserve">80357</t>
  </si>
  <si>
    <t xml:space="preserve">NM_DON_Res_0031</t>
  </si>
  <si>
    <t xml:space="preserve">1395 Main St</t>
  </si>
  <si>
    <t xml:space="preserve">90153</t>
  </si>
  <si>
    <t xml:space="preserve">NM_DON_Res_0032</t>
  </si>
  <si>
    <t xml:space="preserve">9339 Main St</t>
  </si>
  <si>
    <t xml:space="preserve">88600</t>
  </si>
  <si>
    <t xml:space="preserve">NM_DON_Res_0033</t>
  </si>
  <si>
    <t xml:space="preserve">2764 Main St</t>
  </si>
  <si>
    <t xml:space="preserve">89456</t>
  </si>
  <si>
    <t xml:space="preserve">NM_DON_Res_0034</t>
  </si>
  <si>
    <t xml:space="preserve">4505 Main St</t>
  </si>
  <si>
    <t xml:space="preserve">99391</t>
  </si>
  <si>
    <t xml:space="preserve">NM_DON_Res_0035</t>
  </si>
  <si>
    <t xml:space="preserve">129 Main St</t>
  </si>
  <si>
    <t xml:space="preserve">96544</t>
  </si>
  <si>
    <t xml:space="preserve">NM_DON_Res_0036</t>
  </si>
  <si>
    <t xml:space="preserve">7976 Main St</t>
  </si>
  <si>
    <t xml:space="preserve">85743</t>
  </si>
  <si>
    <t xml:space="preserve">NM_DON_Res_0037</t>
  </si>
  <si>
    <t xml:space="preserve">2270 Main St</t>
  </si>
  <si>
    <t xml:space="preserve">88045</t>
  </si>
  <si>
    <t xml:space="preserve">NM_DON_Res_0038</t>
  </si>
  <si>
    <t xml:space="preserve">8996 Main St</t>
  </si>
  <si>
    <t xml:space="preserve">97512</t>
  </si>
  <si>
    <t xml:space="preserve">NM_DON_Res_0039</t>
  </si>
  <si>
    <t xml:space="preserve">7223 Main St</t>
  </si>
  <si>
    <t xml:space="preserve">84084</t>
  </si>
  <si>
    <t xml:space="preserve">NM_DON_Res_0040</t>
  </si>
  <si>
    <t xml:space="preserve">87072</t>
  </si>
  <si>
    <t xml:space="preserve">NM_DON_Res_0041</t>
  </si>
  <si>
    <t xml:space="preserve">192 Main St</t>
  </si>
  <si>
    <t xml:space="preserve">88426</t>
  </si>
  <si>
    <t xml:space="preserve">NM_DON_Res_0042</t>
  </si>
  <si>
    <t xml:space="preserve">2795 Main St</t>
  </si>
  <si>
    <t xml:space="preserve">81986</t>
  </si>
  <si>
    <t xml:space="preserve">NM_DON_Res_0043</t>
  </si>
  <si>
    <t xml:space="preserve">7567 Main St</t>
  </si>
  <si>
    <t xml:space="preserve">93779</t>
  </si>
  <si>
    <t xml:space="preserve">NM_DON_Res_0044</t>
  </si>
  <si>
    <t xml:space="preserve">3876 Main St</t>
  </si>
  <si>
    <t xml:space="preserve">92727</t>
  </si>
  <si>
    <t xml:space="preserve">NM_DON_Res_0045</t>
  </si>
  <si>
    <t xml:space="preserve">2130 Main St</t>
  </si>
  <si>
    <t xml:space="preserve">80052</t>
  </si>
  <si>
    <t xml:space="preserve">NM_DON_Res_0046</t>
  </si>
  <si>
    <t xml:space="preserve">9763 Main St</t>
  </si>
  <si>
    <t xml:space="preserve">NM_DON_Res_0047</t>
  </si>
  <si>
    <t xml:space="preserve">3330 Main St</t>
  </si>
  <si>
    <t xml:space="preserve">89448</t>
  </si>
  <si>
    <t xml:space="preserve">NM_DON_Res_0048</t>
  </si>
  <si>
    <t xml:space="preserve">4701 Main St</t>
  </si>
  <si>
    <t xml:space="preserve">91322</t>
  </si>
  <si>
    <t xml:space="preserve">NM_DON_Res_0049</t>
  </si>
  <si>
    <t xml:space="preserve">782 Main St</t>
  </si>
  <si>
    <t xml:space="preserve">93626</t>
  </si>
  <si>
    <t xml:space="preserve">NM_DON_Res_0050</t>
  </si>
  <si>
    <t xml:space="preserve">5663 Main St</t>
  </si>
  <si>
    <t xml:space="preserve">97376</t>
  </si>
  <si>
    <t xml:space="preserve">NM_DON_Res_0051</t>
  </si>
  <si>
    <t xml:space="preserve">5556 Main St</t>
  </si>
  <si>
    <t xml:space="preserve">99028</t>
  </si>
  <si>
    <t xml:space="preserve">NM_DON_Res_0052</t>
  </si>
  <si>
    <t xml:space="preserve">3424 Main St</t>
  </si>
  <si>
    <t xml:space="preserve">92255</t>
  </si>
  <si>
    <t xml:space="preserve">NM_DON_Res_0053</t>
  </si>
  <si>
    <t xml:space="preserve">6785 Main St</t>
  </si>
  <si>
    <t xml:space="preserve">90898</t>
  </si>
  <si>
    <t xml:space="preserve">NM_DON_Res_0054</t>
  </si>
  <si>
    <t xml:space="preserve">3229 Main St</t>
  </si>
  <si>
    <t xml:space="preserve">95309</t>
  </si>
  <si>
    <t xml:space="preserve">NM_DON_Res_0055</t>
  </si>
  <si>
    <t xml:space="preserve">1910 Main St</t>
  </si>
  <si>
    <t xml:space="preserve">94055</t>
  </si>
  <si>
    <t xml:space="preserve">NM_DON_Res_0056</t>
  </si>
  <si>
    <t xml:space="preserve">8126 Main St</t>
  </si>
  <si>
    <t xml:space="preserve">NM_DON_Res_0057</t>
  </si>
  <si>
    <t xml:space="preserve">3991 Main St</t>
  </si>
  <si>
    <t xml:space="preserve">82201</t>
  </si>
  <si>
    <t xml:space="preserve">NM_DON_Res_0058</t>
  </si>
  <si>
    <t xml:space="preserve">1194 Main St</t>
  </si>
  <si>
    <t xml:space="preserve">81931</t>
  </si>
  <si>
    <t xml:space="preserve">NM_DON_Res_0059</t>
  </si>
  <si>
    <t xml:space="preserve">2292 Main St</t>
  </si>
  <si>
    <t xml:space="preserve">83075</t>
  </si>
  <si>
    <t xml:space="preserve">NM_DON_Com_0000</t>
  </si>
  <si>
    <t xml:space="preserve">83571</t>
  </si>
  <si>
    <t xml:space="preserve">WB_Commercial_Dona_Ana_County_NM.csv</t>
  </si>
  <si>
    <t xml:space="preserve">NM_DON_Com_0001</t>
  </si>
  <si>
    <t xml:space="preserve">7212 Main St</t>
  </si>
  <si>
    <t xml:space="preserve">91585</t>
  </si>
  <si>
    <t xml:space="preserve">NM_DON_Com_0002</t>
  </si>
  <si>
    <t xml:space="preserve">7960 Main St</t>
  </si>
  <si>
    <t xml:space="preserve">91641</t>
  </si>
  <si>
    <t xml:space="preserve">NM_DON_Com_0003</t>
  </si>
  <si>
    <t xml:space="preserve">4264 Main St</t>
  </si>
  <si>
    <t xml:space="preserve">86112</t>
  </si>
  <si>
    <t xml:space="preserve">NM_DON_Com_0004</t>
  </si>
  <si>
    <t xml:space="preserve">2000 Main St</t>
  </si>
  <si>
    <t xml:space="preserve">88508</t>
  </si>
  <si>
    <t xml:space="preserve">NM_DON_Com_0005</t>
  </si>
  <si>
    <t xml:space="preserve">NM_DON_Com_0006</t>
  </si>
  <si>
    <t xml:space="preserve">8063 Main St</t>
  </si>
  <si>
    <t xml:space="preserve">94242</t>
  </si>
  <si>
    <t xml:space="preserve">NM_DON_Com_0007</t>
  </si>
  <si>
    <t xml:space="preserve">9904 Main St</t>
  </si>
  <si>
    <t xml:space="preserve">91520</t>
  </si>
  <si>
    <t xml:space="preserve">NM_DON_Com_0008</t>
  </si>
  <si>
    <t xml:space="preserve">968 Main St</t>
  </si>
  <si>
    <t xml:space="preserve">89969</t>
  </si>
  <si>
    <t xml:space="preserve">NM_DON_Com_0009</t>
  </si>
  <si>
    <t xml:space="preserve">9711 Main St</t>
  </si>
  <si>
    <t xml:space="preserve">93113</t>
  </si>
  <si>
    <t xml:space="preserve">NM_DON_Com_0010</t>
  </si>
  <si>
    <t xml:space="preserve">82492</t>
  </si>
  <si>
    <t xml:space="preserve">NM_DON_Com_0011</t>
  </si>
  <si>
    <t xml:space="preserve">5195 Main St</t>
  </si>
  <si>
    <t xml:space="preserve">94759</t>
  </si>
  <si>
    <t xml:space="preserve">NM_DON_Com_0012</t>
  </si>
  <si>
    <t xml:space="preserve">107 Main St</t>
  </si>
  <si>
    <t xml:space="preserve">80701</t>
  </si>
  <si>
    <t xml:space="preserve">NM_DON_Com_0013</t>
  </si>
  <si>
    <t xml:space="preserve">8524 Main St</t>
  </si>
  <si>
    <t xml:space="preserve">80047</t>
  </si>
  <si>
    <t xml:space="preserve">NM_DON_Com_0014</t>
  </si>
  <si>
    <t xml:space="preserve">5743 Main St</t>
  </si>
  <si>
    <t xml:space="preserve">81135</t>
  </si>
  <si>
    <t xml:space="preserve">NM_DON_Com_0015</t>
  </si>
  <si>
    <t xml:space="preserve">2644 Main St</t>
  </si>
  <si>
    <t xml:space="preserve">89343</t>
  </si>
  <si>
    <t xml:space="preserve">NM_DON_Com_0016</t>
  </si>
  <si>
    <t xml:space="preserve">9810 Main St</t>
  </si>
  <si>
    <t xml:space="preserve">88688</t>
  </si>
  <si>
    <t xml:space="preserve">NM_DON_Com_0017</t>
  </si>
  <si>
    <t xml:space="preserve">6676 Main St</t>
  </si>
  <si>
    <t xml:space="preserve">95548</t>
  </si>
  <si>
    <t xml:space="preserve">NM_DON_Com_0018</t>
  </si>
  <si>
    <t xml:space="preserve">6074 Main St</t>
  </si>
  <si>
    <t xml:space="preserve">84624</t>
  </si>
  <si>
    <t xml:space="preserve">NM_DON_Com_0019</t>
  </si>
  <si>
    <t xml:space="preserve">5907 Main St</t>
  </si>
  <si>
    <t xml:space="preserve">97054</t>
  </si>
  <si>
    <t xml:space="preserve">NM_DON_Com_0020</t>
  </si>
  <si>
    <t xml:space="preserve">6640 Main St</t>
  </si>
  <si>
    <t xml:space="preserve">87993</t>
  </si>
  <si>
    <t xml:space="preserve">NM_DON_Com_0021</t>
  </si>
  <si>
    <t xml:space="preserve">358 Main St</t>
  </si>
  <si>
    <t xml:space="preserve">84199</t>
  </si>
  <si>
    <t xml:space="preserve">NM_DON_Com_0022</t>
  </si>
  <si>
    <t xml:space="preserve">6448 Main St</t>
  </si>
  <si>
    <t xml:space="preserve">89406</t>
  </si>
  <si>
    <t xml:space="preserve">NM_DON_Com_0023</t>
  </si>
  <si>
    <t xml:space="preserve">2820 Main St</t>
  </si>
  <si>
    <t xml:space="preserve">91298</t>
  </si>
  <si>
    <t xml:space="preserve">NM_DON_Com_0024</t>
  </si>
  <si>
    <t xml:space="preserve">9056 Main St</t>
  </si>
  <si>
    <t xml:space="preserve">95973</t>
  </si>
  <si>
    <t xml:space="preserve">NM_DON_Com_0025</t>
  </si>
  <si>
    <t xml:space="preserve">8812 Main St</t>
  </si>
  <si>
    <t xml:space="preserve">94550</t>
  </si>
  <si>
    <t xml:space="preserve">NM_DON_Com_0026</t>
  </si>
  <si>
    <t xml:space="preserve">80336</t>
  </si>
  <si>
    <t xml:space="preserve">NM_DON_Com_0027</t>
  </si>
  <si>
    <t xml:space="preserve">2264 Main St</t>
  </si>
  <si>
    <t xml:space="preserve">94332</t>
  </si>
  <si>
    <t xml:space="preserve">NM_DON_Com_0028</t>
  </si>
  <si>
    <t xml:space="preserve">2317 Main St</t>
  </si>
  <si>
    <t xml:space="preserve">83479</t>
  </si>
  <si>
    <t xml:space="preserve">NM_DON_Com_0029</t>
  </si>
  <si>
    <t xml:space="preserve">1644 Main St</t>
  </si>
  <si>
    <t xml:space="preserve">96149</t>
  </si>
  <si>
    <t xml:space="preserve">NM_DON_Com_0030</t>
  </si>
  <si>
    <t xml:space="preserve">4257 Main St</t>
  </si>
  <si>
    <t xml:space="preserve">80831</t>
  </si>
  <si>
    <t xml:space="preserve">NM_DON_Com_0031</t>
  </si>
  <si>
    <t xml:space="preserve">5918 Main St</t>
  </si>
  <si>
    <t xml:space="preserve">91277</t>
  </si>
  <si>
    <t xml:space="preserve">NM_DON_Com_0032</t>
  </si>
  <si>
    <t xml:space="preserve">5914 Main St</t>
  </si>
  <si>
    <t xml:space="preserve">95386</t>
  </si>
  <si>
    <t xml:space="preserve">NM_DON_Com_0033</t>
  </si>
  <si>
    <t xml:space="preserve">5676 Main St</t>
  </si>
  <si>
    <t xml:space="preserve">93922</t>
  </si>
  <si>
    <t xml:space="preserve">NM_DON_Com_0034</t>
  </si>
  <si>
    <t xml:space="preserve">9954 Main St</t>
  </si>
  <si>
    <t xml:space="preserve">82496</t>
  </si>
  <si>
    <t xml:space="preserve">NM_DON_Com_0035</t>
  </si>
  <si>
    <t xml:space="preserve">3071 Main St</t>
  </si>
  <si>
    <t xml:space="preserve">81386</t>
  </si>
  <si>
    <t xml:space="preserve">NM_DON_Com_0036</t>
  </si>
  <si>
    <t xml:space="preserve">9894 Main St</t>
  </si>
  <si>
    <t xml:space="preserve">94815</t>
  </si>
  <si>
    <t xml:space="preserve">NM_DON_Com_0037</t>
  </si>
  <si>
    <t xml:space="preserve">4526 Main St</t>
  </si>
  <si>
    <t xml:space="preserve">88476</t>
  </si>
  <si>
    <t xml:space="preserve">NM_DON_Com_0038</t>
  </si>
  <si>
    <t xml:space="preserve">4745 Main St</t>
  </si>
  <si>
    <t xml:space="preserve">85540</t>
  </si>
  <si>
    <t xml:space="preserve">NM_DON_Com_0039</t>
  </si>
  <si>
    <t xml:space="preserve">853 Main St</t>
  </si>
  <si>
    <t xml:space="preserve">91207</t>
  </si>
  <si>
    <t xml:space="preserve">NM_DON_Com_0040</t>
  </si>
  <si>
    <t xml:space="preserve">88241</t>
  </si>
  <si>
    <t xml:space="preserve">NM_DON_Com_0041</t>
  </si>
  <si>
    <t xml:space="preserve">1277 Main St</t>
  </si>
  <si>
    <t xml:space="preserve">92613</t>
  </si>
  <si>
    <t xml:space="preserve">NM_DON_Com_0042</t>
  </si>
  <si>
    <t xml:space="preserve">7983 Main St</t>
  </si>
  <si>
    <t xml:space="preserve">91386</t>
  </si>
  <si>
    <t xml:space="preserve">NM_DON_Com_0043</t>
  </si>
  <si>
    <t xml:space="preserve">5501 Main St</t>
  </si>
  <si>
    <t xml:space="preserve">85661</t>
  </si>
  <si>
    <t xml:space="preserve">NM_DON_Com_0044</t>
  </si>
  <si>
    <t xml:space="preserve">1724 Main St</t>
  </si>
  <si>
    <t xml:space="preserve">81176</t>
  </si>
  <si>
    <t xml:space="preserve">NM_DON_Com_0045</t>
  </si>
  <si>
    <t xml:space="preserve">5815 Main St</t>
  </si>
  <si>
    <t xml:space="preserve">92179</t>
  </si>
  <si>
    <t xml:space="preserve">NM_DON_Com_0046</t>
  </si>
  <si>
    <t xml:space="preserve">2367 Main St</t>
  </si>
  <si>
    <t xml:space="preserve">NM_DON_Com_0047</t>
  </si>
  <si>
    <t xml:space="preserve">1701 Main St</t>
  </si>
  <si>
    <t xml:space="preserve">97590</t>
  </si>
  <si>
    <t xml:space="preserve">NM_DON_Com_0048</t>
  </si>
  <si>
    <t xml:space="preserve">8823 Main St</t>
  </si>
  <si>
    <t xml:space="preserve">96820</t>
  </si>
  <si>
    <t xml:space="preserve">NM_DON_Com_0049</t>
  </si>
  <si>
    <t xml:space="preserve">523 Main St</t>
  </si>
  <si>
    <t xml:space="preserve">83417</t>
  </si>
  <si>
    <t xml:space="preserve">NM_DON_Com_0050</t>
  </si>
  <si>
    <t xml:space="preserve">2562 Main St</t>
  </si>
  <si>
    <t xml:space="preserve">98802</t>
  </si>
  <si>
    <t xml:space="preserve">NM_DON_Com_0051</t>
  </si>
  <si>
    <t xml:space="preserve">3486 Main St</t>
  </si>
  <si>
    <t xml:space="preserve">84667</t>
  </si>
  <si>
    <t xml:space="preserve">NM_DON_Com_0052</t>
  </si>
  <si>
    <t xml:space="preserve">9137 Main St</t>
  </si>
  <si>
    <t xml:space="preserve">83973</t>
  </si>
  <si>
    <t xml:space="preserve">NM_DON_Com_0053</t>
  </si>
  <si>
    <t xml:space="preserve">8127 Main St</t>
  </si>
  <si>
    <t xml:space="preserve">95660</t>
  </si>
  <si>
    <t xml:space="preserve">NM_DON_Com_0054</t>
  </si>
  <si>
    <t xml:space="preserve">6289 Main St</t>
  </si>
  <si>
    <t xml:space="preserve">89888</t>
  </si>
  <si>
    <t xml:space="preserve">NM_DON_Com_0055</t>
  </si>
  <si>
    <t xml:space="preserve">8105 Main St</t>
  </si>
  <si>
    <t xml:space="preserve">85217</t>
  </si>
  <si>
    <t xml:space="preserve">NM_DON_Com_0056</t>
  </si>
  <si>
    <t xml:space="preserve">6362 Main St</t>
  </si>
  <si>
    <t xml:space="preserve">86683</t>
  </si>
  <si>
    <t xml:space="preserve">NM_DON_Com_0057</t>
  </si>
  <si>
    <t xml:space="preserve">1905 Main St</t>
  </si>
  <si>
    <t xml:space="preserve">84687</t>
  </si>
  <si>
    <t xml:space="preserve">NM_DON_Com_0058</t>
  </si>
  <si>
    <t xml:space="preserve">8655 Main St</t>
  </si>
  <si>
    <t xml:space="preserve">95618</t>
  </si>
  <si>
    <t xml:space="preserve">NM_DON_Com_0059</t>
  </si>
  <si>
    <t xml:space="preserve">205 Main St</t>
  </si>
  <si>
    <t xml:space="preserve">81913</t>
  </si>
  <si>
    <t xml:space="preserve">WA_KIN_Res_0000</t>
  </si>
  <si>
    <t xml:space="preserve">Owner WA 1</t>
  </si>
  <si>
    <t xml:space="preserve">3567 Main St</t>
  </si>
  <si>
    <t xml:space="preserve">King</t>
  </si>
  <si>
    <t xml:space="preserve">WA</t>
  </si>
  <si>
    <t xml:space="preserve">KING</t>
  </si>
  <si>
    <t xml:space="preserve">83398</t>
  </si>
  <si>
    <t xml:space="preserve">WB_Residential_King_County_WA.csv</t>
  </si>
  <si>
    <t xml:space="preserve">WA_KIN_Res_0001</t>
  </si>
  <si>
    <t xml:space="preserve">Owner WA 2</t>
  </si>
  <si>
    <t xml:space="preserve">7930 Main St</t>
  </si>
  <si>
    <t xml:space="preserve">90046</t>
  </si>
  <si>
    <t xml:space="preserve">WA_KIN_Res_0002</t>
  </si>
  <si>
    <t xml:space="preserve">Owner WA 3</t>
  </si>
  <si>
    <t xml:space="preserve">5848 Main St</t>
  </si>
  <si>
    <t xml:space="preserve">85542</t>
  </si>
  <si>
    <t xml:space="preserve">WA_KIN_Res_0003</t>
  </si>
  <si>
    <t xml:space="preserve">Owner WA 4</t>
  </si>
  <si>
    <t xml:space="preserve">7975 Main St</t>
  </si>
  <si>
    <t xml:space="preserve">83409</t>
  </si>
  <si>
    <t xml:space="preserve">WA_KIN_Res_0004</t>
  </si>
  <si>
    <t xml:space="preserve">Owner WA 5</t>
  </si>
  <si>
    <t xml:space="preserve">1041 Main St</t>
  </si>
  <si>
    <t xml:space="preserve">91521</t>
  </si>
  <si>
    <t xml:space="preserve">WA_KIN_Res_0005</t>
  </si>
  <si>
    <t xml:space="preserve">Owner WA 6</t>
  </si>
  <si>
    <t xml:space="preserve">5154 Main St</t>
  </si>
  <si>
    <t xml:space="preserve">80274</t>
  </si>
  <si>
    <t xml:space="preserve">WA_KIN_Res_0006</t>
  </si>
  <si>
    <t xml:space="preserve">Owner WA 7</t>
  </si>
  <si>
    <t xml:space="preserve">1065 Main St</t>
  </si>
  <si>
    <t xml:space="preserve">91302</t>
  </si>
  <si>
    <t xml:space="preserve">WA_KIN_Res_0007</t>
  </si>
  <si>
    <t xml:space="preserve">Owner WA 8</t>
  </si>
  <si>
    <t xml:space="preserve">4886 Main St</t>
  </si>
  <si>
    <t xml:space="preserve">95729</t>
  </si>
  <si>
    <t xml:space="preserve">WA_KIN_Res_0008</t>
  </si>
  <si>
    <t xml:space="preserve">Owner WA 9</t>
  </si>
  <si>
    <t xml:space="preserve">8936 Main St</t>
  </si>
  <si>
    <t xml:space="preserve">85487</t>
  </si>
  <si>
    <t xml:space="preserve">WA_KIN_Res_0009</t>
  </si>
  <si>
    <t xml:space="preserve">Owner WA 10</t>
  </si>
  <si>
    <t xml:space="preserve">8004 Main St</t>
  </si>
  <si>
    <t xml:space="preserve">88800</t>
  </si>
  <si>
    <t xml:space="preserve">WA_KIN_Res_0010</t>
  </si>
  <si>
    <t xml:space="preserve">Owner WA 11</t>
  </si>
  <si>
    <t xml:space="preserve">5693 Main St</t>
  </si>
  <si>
    <t xml:space="preserve">94028</t>
  </si>
  <si>
    <t xml:space="preserve">WA_KIN_Res_0011</t>
  </si>
  <si>
    <t xml:space="preserve">Owner WA 12</t>
  </si>
  <si>
    <t xml:space="preserve">2373 Main St</t>
  </si>
  <si>
    <t xml:space="preserve">98025</t>
  </si>
  <si>
    <t xml:space="preserve">WA_KIN_Res_0012</t>
  </si>
  <si>
    <t xml:space="preserve">Owner WA 13</t>
  </si>
  <si>
    <t xml:space="preserve">6101 Main St</t>
  </si>
  <si>
    <t xml:space="preserve">86521</t>
  </si>
  <si>
    <t xml:space="preserve">WA_KIN_Res_0013</t>
  </si>
  <si>
    <t xml:space="preserve">Owner WA 14</t>
  </si>
  <si>
    <t xml:space="preserve">1683 Main St</t>
  </si>
  <si>
    <t xml:space="preserve">89425</t>
  </si>
  <si>
    <t xml:space="preserve">WA_KIN_Res_0014</t>
  </si>
  <si>
    <t xml:space="preserve">Owner WA 15</t>
  </si>
  <si>
    <t xml:space="preserve">6888 Main St</t>
  </si>
  <si>
    <t xml:space="preserve">98373</t>
  </si>
  <si>
    <t xml:space="preserve">WA_KIN_Res_0015</t>
  </si>
  <si>
    <t xml:space="preserve">Owner WA 16</t>
  </si>
  <si>
    <t xml:space="preserve">329 Main St</t>
  </si>
  <si>
    <t xml:space="preserve">93155</t>
  </si>
  <si>
    <t xml:space="preserve">WA_KIN_Res_0016</t>
  </si>
  <si>
    <t xml:space="preserve">Owner WA 17</t>
  </si>
  <si>
    <t xml:space="preserve">81790</t>
  </si>
  <si>
    <t xml:space="preserve">WA_KIN_Res_0017</t>
  </si>
  <si>
    <t xml:space="preserve">Owner WA 18</t>
  </si>
  <si>
    <t xml:space="preserve">5844 Main St</t>
  </si>
  <si>
    <t xml:space="preserve">80384</t>
  </si>
  <si>
    <t xml:space="preserve">WA_KIN_Res_0018</t>
  </si>
  <si>
    <t xml:space="preserve">Owner WA 19</t>
  </si>
  <si>
    <t xml:space="preserve">5098 Main St</t>
  </si>
  <si>
    <t xml:space="preserve">95919</t>
  </si>
  <si>
    <t xml:space="preserve">WA_KIN_Res_0019</t>
  </si>
  <si>
    <t xml:space="preserve">Owner WA 20</t>
  </si>
  <si>
    <t xml:space="preserve">5070 Main St</t>
  </si>
  <si>
    <t xml:space="preserve">93718</t>
  </si>
  <si>
    <t xml:space="preserve">WA_KIN_Res_0020</t>
  </si>
  <si>
    <t xml:space="preserve">Owner WA 21</t>
  </si>
  <si>
    <t xml:space="preserve">679 Main St</t>
  </si>
  <si>
    <t xml:space="preserve">87901</t>
  </si>
  <si>
    <t xml:space="preserve">WA_KIN_Res_0021</t>
  </si>
  <si>
    <t xml:space="preserve">Owner WA 22</t>
  </si>
  <si>
    <t xml:space="preserve">86740</t>
  </si>
  <si>
    <t xml:space="preserve">WA_KIN_Res_0022</t>
  </si>
  <si>
    <t xml:space="preserve">Owner WA 23</t>
  </si>
  <si>
    <t xml:space="preserve">9378 Main St</t>
  </si>
  <si>
    <t xml:space="preserve">92989</t>
  </si>
  <si>
    <t xml:space="preserve">WA_KIN_Res_0023</t>
  </si>
  <si>
    <t xml:space="preserve">Owner WA 24</t>
  </si>
  <si>
    <t xml:space="preserve">894 Main St</t>
  </si>
  <si>
    <t xml:space="preserve">86818</t>
  </si>
  <si>
    <t xml:space="preserve">WA_KIN_Res_0024</t>
  </si>
  <si>
    <t xml:space="preserve">Owner WA 25</t>
  </si>
  <si>
    <t xml:space="preserve">2234 Main St</t>
  </si>
  <si>
    <t xml:space="preserve">87421</t>
  </si>
  <si>
    <t xml:space="preserve">WA_KIN_Res_0025</t>
  </si>
  <si>
    <t xml:space="preserve">Owner WA 26</t>
  </si>
  <si>
    <t xml:space="preserve">7333 Main St</t>
  </si>
  <si>
    <t xml:space="preserve">88134</t>
  </si>
  <si>
    <t xml:space="preserve">WA_KIN_Res_0026</t>
  </si>
  <si>
    <t xml:space="preserve">Owner WA 27</t>
  </si>
  <si>
    <t xml:space="preserve">7622 Main St</t>
  </si>
  <si>
    <t xml:space="preserve">97013</t>
  </si>
  <si>
    <t xml:space="preserve">WA_KIN_Res_0027</t>
  </si>
  <si>
    <t xml:space="preserve">Owner WA 28</t>
  </si>
  <si>
    <t xml:space="preserve">9759 Main St</t>
  </si>
  <si>
    <t xml:space="preserve">91455</t>
  </si>
  <si>
    <t xml:space="preserve">WA_KIN_Res_0028</t>
  </si>
  <si>
    <t xml:space="preserve">Owner WA 29</t>
  </si>
  <si>
    <t xml:space="preserve">9069 Main St</t>
  </si>
  <si>
    <t xml:space="preserve">92756</t>
  </si>
  <si>
    <t xml:space="preserve">WA_KIN_Res_0029</t>
  </si>
  <si>
    <t xml:space="preserve">Owner WA 30</t>
  </si>
  <si>
    <t xml:space="preserve">4126 Main St</t>
  </si>
  <si>
    <t xml:space="preserve">87242</t>
  </si>
  <si>
    <t xml:space="preserve">WA_KIN_Res_0030</t>
  </si>
  <si>
    <t xml:space="preserve">Owner WA 31</t>
  </si>
  <si>
    <t xml:space="preserve">2444 Main St</t>
  </si>
  <si>
    <t xml:space="preserve">80172</t>
  </si>
  <si>
    <t xml:space="preserve">WA_KIN_Res_0031</t>
  </si>
  <si>
    <t xml:space="preserve">Owner WA 32</t>
  </si>
  <si>
    <t xml:space="preserve">7986 Main St</t>
  </si>
  <si>
    <t xml:space="preserve">86588</t>
  </si>
  <si>
    <t xml:space="preserve">WA_KIN_Res_0032</t>
  </si>
  <si>
    <t xml:space="preserve">Owner WA 33</t>
  </si>
  <si>
    <t xml:space="preserve">8418 Main St</t>
  </si>
  <si>
    <t xml:space="preserve">82016</t>
  </si>
  <si>
    <t xml:space="preserve">WA_KIN_Res_0033</t>
  </si>
  <si>
    <t xml:space="preserve">Owner WA 34</t>
  </si>
  <si>
    <t xml:space="preserve">88842</t>
  </si>
  <si>
    <t xml:space="preserve">WA_KIN_Res_0034</t>
  </si>
  <si>
    <t xml:space="preserve">Owner WA 35</t>
  </si>
  <si>
    <t xml:space="preserve">5643 Main St</t>
  </si>
  <si>
    <t xml:space="preserve">90990</t>
  </si>
  <si>
    <t xml:space="preserve">WA_KIN_Res_0035</t>
  </si>
  <si>
    <t xml:space="preserve">Owner WA 36</t>
  </si>
  <si>
    <t xml:space="preserve">5737 Main St</t>
  </si>
  <si>
    <t xml:space="preserve">94545</t>
  </si>
  <si>
    <t xml:space="preserve">WA_KIN_Res_0036</t>
  </si>
  <si>
    <t xml:space="preserve">Owner WA 37</t>
  </si>
  <si>
    <t xml:space="preserve">2371 Main St</t>
  </si>
  <si>
    <t xml:space="preserve">84558</t>
  </si>
  <si>
    <t xml:space="preserve">WA_KIN_Res_0037</t>
  </si>
  <si>
    <t xml:space="preserve">Owner WA 38</t>
  </si>
  <si>
    <t xml:space="preserve">497 Main St</t>
  </si>
  <si>
    <t xml:space="preserve">90815</t>
  </si>
  <si>
    <t xml:space="preserve">WA_KIN_Res_0038</t>
  </si>
  <si>
    <t xml:space="preserve">Owner WA 39</t>
  </si>
  <si>
    <t xml:space="preserve">4140 Main St</t>
  </si>
  <si>
    <t xml:space="preserve">95039</t>
  </si>
  <si>
    <t xml:space="preserve">WA_KIN_Res_0039</t>
  </si>
  <si>
    <t xml:space="preserve">Owner WA 40</t>
  </si>
  <si>
    <t xml:space="preserve">3237 Main St</t>
  </si>
  <si>
    <t xml:space="preserve">95594</t>
  </si>
  <si>
    <t xml:space="preserve">WA_KIN_Res_0040</t>
  </si>
  <si>
    <t xml:space="preserve">Owner WA 41</t>
  </si>
  <si>
    <t xml:space="preserve">9342 Main St</t>
  </si>
  <si>
    <t xml:space="preserve">83740</t>
  </si>
  <si>
    <t xml:space="preserve">WA_KIN_Res_0041</t>
  </si>
  <si>
    <t xml:space="preserve">Owner WA 42</t>
  </si>
  <si>
    <t xml:space="preserve">1162 Main St</t>
  </si>
  <si>
    <t xml:space="preserve">83413</t>
  </si>
  <si>
    <t xml:space="preserve">WA_KIN_Res_0042</t>
  </si>
  <si>
    <t xml:space="preserve">Owner WA 43</t>
  </si>
  <si>
    <t xml:space="preserve">6894 Main St</t>
  </si>
  <si>
    <t xml:space="preserve">80441</t>
  </si>
  <si>
    <t xml:space="preserve">WA_KIN_Res_0043</t>
  </si>
  <si>
    <t xml:space="preserve">Owner WA 44</t>
  </si>
  <si>
    <t xml:space="preserve">4752 Main St</t>
  </si>
  <si>
    <t xml:space="preserve">80340</t>
  </si>
  <si>
    <t xml:space="preserve">WA_KIN_Res_0044</t>
  </si>
  <si>
    <t xml:space="preserve">Owner WA 45</t>
  </si>
  <si>
    <t xml:space="preserve">3494 Main St</t>
  </si>
  <si>
    <t xml:space="preserve">83223</t>
  </si>
  <si>
    <t xml:space="preserve">WA_KIN_Res_0045</t>
  </si>
  <si>
    <t xml:space="preserve">Owner WA 46</t>
  </si>
  <si>
    <t xml:space="preserve">408 Main St</t>
  </si>
  <si>
    <t xml:space="preserve">95665</t>
  </si>
  <si>
    <t xml:space="preserve">WA_KIN_Res_0046</t>
  </si>
  <si>
    <t xml:space="preserve">Owner WA 47</t>
  </si>
  <si>
    <t xml:space="preserve">2577 Main St</t>
  </si>
  <si>
    <t xml:space="preserve">91802</t>
  </si>
  <si>
    <t xml:space="preserve">WA_KIN_Res_0047</t>
  </si>
  <si>
    <t xml:space="preserve">Owner WA 48</t>
  </si>
  <si>
    <t xml:space="preserve">4860 Main St</t>
  </si>
  <si>
    <t xml:space="preserve">88621</t>
  </si>
  <si>
    <t xml:space="preserve">WA_KIN_Res_0048</t>
  </si>
  <si>
    <t xml:space="preserve">Owner WA 49</t>
  </si>
  <si>
    <t xml:space="preserve">1552 Main St</t>
  </si>
  <si>
    <t xml:space="preserve">87069</t>
  </si>
  <si>
    <t xml:space="preserve">WA_KIN_Res_0049</t>
  </si>
  <si>
    <t xml:space="preserve">Owner WA 50</t>
  </si>
  <si>
    <t xml:space="preserve">1671 Main St</t>
  </si>
  <si>
    <t xml:space="preserve">95654</t>
  </si>
  <si>
    <t xml:space="preserve">WA_KIN_Res_0050</t>
  </si>
  <si>
    <t xml:space="preserve">Owner WA 51</t>
  </si>
  <si>
    <t xml:space="preserve">4357 Main St</t>
  </si>
  <si>
    <t xml:space="preserve">88554</t>
  </si>
  <si>
    <t xml:space="preserve">WA_KIN_Res_0051</t>
  </si>
  <si>
    <t xml:space="preserve">Owner WA 52</t>
  </si>
  <si>
    <t xml:space="preserve">1815 Main St</t>
  </si>
  <si>
    <t xml:space="preserve">99680</t>
  </si>
  <si>
    <t xml:space="preserve">WA_KIN_Res_0052</t>
  </si>
  <si>
    <t xml:space="preserve">Owner WA 53</t>
  </si>
  <si>
    <t xml:space="preserve">1123 Main St</t>
  </si>
  <si>
    <t xml:space="preserve">90277</t>
  </si>
  <si>
    <t xml:space="preserve">WA_KIN_Res_0053</t>
  </si>
  <si>
    <t xml:space="preserve">Owner WA 54</t>
  </si>
  <si>
    <t xml:space="preserve">1566 Main St</t>
  </si>
  <si>
    <t xml:space="preserve">91624</t>
  </si>
  <si>
    <t xml:space="preserve">WA_KIN_Res_0054</t>
  </si>
  <si>
    <t xml:space="preserve">Owner WA 55</t>
  </si>
  <si>
    <t xml:space="preserve">2844 Main St</t>
  </si>
  <si>
    <t xml:space="preserve">98358</t>
  </si>
  <si>
    <t xml:space="preserve">WA_KIN_Res_0055</t>
  </si>
  <si>
    <t xml:space="preserve">Owner WA 56</t>
  </si>
  <si>
    <t xml:space="preserve">569 Main St</t>
  </si>
  <si>
    <t xml:space="preserve">99300</t>
  </si>
  <si>
    <t xml:space="preserve">WA_KIN_Res_0056</t>
  </si>
  <si>
    <t xml:space="preserve">Owner WA 57</t>
  </si>
  <si>
    <t xml:space="preserve">4193 Main St</t>
  </si>
  <si>
    <t xml:space="preserve">86441</t>
  </si>
  <si>
    <t xml:space="preserve">WA_KIN_Res_0057</t>
  </si>
  <si>
    <t xml:space="preserve">Owner WA 58</t>
  </si>
  <si>
    <t xml:space="preserve">517 Main St</t>
  </si>
  <si>
    <t xml:space="preserve">81033</t>
  </si>
  <si>
    <t xml:space="preserve">WA_KIN_Res_0058</t>
  </si>
  <si>
    <t xml:space="preserve">Owner WA 59</t>
  </si>
  <si>
    <t xml:space="preserve">5891 Main St</t>
  </si>
  <si>
    <t xml:space="preserve">98860</t>
  </si>
  <si>
    <t xml:space="preserve">WA_KIN_Res_0059</t>
  </si>
  <si>
    <t xml:space="preserve">Owner WA 60</t>
  </si>
  <si>
    <t xml:space="preserve">7336 Main St</t>
  </si>
  <si>
    <t xml:space="preserve">99387</t>
  </si>
  <si>
    <t xml:space="preserve">WA_KIN_Com_0000</t>
  </si>
  <si>
    <t xml:space="preserve">2061 Main St</t>
  </si>
  <si>
    <t xml:space="preserve">98159</t>
  </si>
  <si>
    <t xml:space="preserve">WB_Commercial_King_County_WA.csv</t>
  </si>
  <si>
    <t xml:space="preserve">WA_KIN_Com_0001</t>
  </si>
  <si>
    <t xml:space="preserve">7156 Main St</t>
  </si>
  <si>
    <t xml:space="preserve">92246</t>
  </si>
  <si>
    <t xml:space="preserve">WA_KIN_Com_0002</t>
  </si>
  <si>
    <t xml:space="preserve">7008 Main St</t>
  </si>
  <si>
    <t xml:space="preserve">82795</t>
  </si>
  <si>
    <t xml:space="preserve">WA_KIN_Com_0003</t>
  </si>
  <si>
    <t xml:space="preserve">4068 Main St</t>
  </si>
  <si>
    <t xml:space="preserve">89302</t>
  </si>
  <si>
    <t xml:space="preserve">WA_KIN_Com_0004</t>
  </si>
  <si>
    <t xml:space="preserve">5252 Main St</t>
  </si>
  <si>
    <t xml:space="preserve">92542</t>
  </si>
  <si>
    <t xml:space="preserve">WA_KIN_Com_0005</t>
  </si>
  <si>
    <t xml:space="preserve">6680 Main St</t>
  </si>
  <si>
    <t xml:space="preserve">94892</t>
  </si>
  <si>
    <t xml:space="preserve">WA_KIN_Com_0006</t>
  </si>
  <si>
    <t xml:space="preserve">2569 Main St</t>
  </si>
  <si>
    <t xml:space="preserve">90718</t>
  </si>
  <si>
    <t xml:space="preserve">WA_KIN_Com_0007</t>
  </si>
  <si>
    <t xml:space="preserve">WA_KIN_Com_0008</t>
  </si>
  <si>
    <t xml:space="preserve">350 Main St</t>
  </si>
  <si>
    <t xml:space="preserve">81124</t>
  </si>
  <si>
    <t xml:space="preserve">WA_KIN_Com_0009</t>
  </si>
  <si>
    <t xml:space="preserve">3355 Main St</t>
  </si>
  <si>
    <t xml:space="preserve">89993</t>
  </si>
  <si>
    <t xml:space="preserve">WA_KIN_Com_0010</t>
  </si>
  <si>
    <t xml:space="preserve">9112 Main St</t>
  </si>
  <si>
    <t xml:space="preserve">94707</t>
  </si>
  <si>
    <t xml:space="preserve">WA_KIN_Com_0011</t>
  </si>
  <si>
    <t xml:space="preserve">92484</t>
  </si>
  <si>
    <t xml:space="preserve">WA_KIN_Com_0012</t>
  </si>
  <si>
    <t xml:space="preserve">7889 Main St</t>
  </si>
  <si>
    <t xml:space="preserve">89329</t>
  </si>
  <si>
    <t xml:space="preserve">WA_KIN_Com_0013</t>
  </si>
  <si>
    <t xml:space="preserve">82591</t>
  </si>
  <si>
    <t xml:space="preserve">WA_KIN_Com_0014</t>
  </si>
  <si>
    <t xml:space="preserve">9501 Main St</t>
  </si>
  <si>
    <t xml:space="preserve">83680</t>
  </si>
  <si>
    <t xml:space="preserve">WA_KIN_Com_0015</t>
  </si>
  <si>
    <t xml:space="preserve">89516</t>
  </si>
  <si>
    <t xml:space="preserve">WA_KIN_Com_0016</t>
  </si>
  <si>
    <t xml:space="preserve">3820 Main St</t>
  </si>
  <si>
    <t xml:space="preserve">89844</t>
  </si>
  <si>
    <t xml:space="preserve">WA_KIN_Com_0017</t>
  </si>
  <si>
    <t xml:space="preserve">4001 Main St</t>
  </si>
  <si>
    <t xml:space="preserve">82121</t>
  </si>
  <si>
    <t xml:space="preserve">WA_KIN_Com_0018</t>
  </si>
  <si>
    <t xml:space="preserve">8491 Main St</t>
  </si>
  <si>
    <t xml:space="preserve">96416</t>
  </si>
  <si>
    <t xml:space="preserve">WA_KIN_Com_0019</t>
  </si>
  <si>
    <t xml:space="preserve">2930 Main St</t>
  </si>
  <si>
    <t xml:space="preserve">89453</t>
  </si>
  <si>
    <t xml:space="preserve">WA_KIN_Com_0020</t>
  </si>
  <si>
    <t xml:space="preserve">7879 Main St</t>
  </si>
  <si>
    <t xml:space="preserve">91676</t>
  </si>
  <si>
    <t xml:space="preserve">WA_KIN_Com_0021</t>
  </si>
  <si>
    <t xml:space="preserve">1520 Main St</t>
  </si>
  <si>
    <t xml:space="preserve">90206</t>
  </si>
  <si>
    <t xml:space="preserve">WA_KIN_Com_0022</t>
  </si>
  <si>
    <t xml:space="preserve">8388 Main St</t>
  </si>
  <si>
    <t xml:space="preserve">80705</t>
  </si>
  <si>
    <t xml:space="preserve">WA_KIN_Com_0023</t>
  </si>
  <si>
    <t xml:space="preserve">8262 Main St</t>
  </si>
  <si>
    <t xml:space="preserve">92318</t>
  </si>
  <si>
    <t xml:space="preserve">WA_KIN_Com_0024</t>
  </si>
  <si>
    <t xml:space="preserve">3621 Main St</t>
  </si>
  <si>
    <t xml:space="preserve">86671</t>
  </si>
  <si>
    <t xml:space="preserve">WA_KIN_Com_0025</t>
  </si>
  <si>
    <t xml:space="preserve">1475 Main St</t>
  </si>
  <si>
    <t xml:space="preserve">83200</t>
  </si>
  <si>
    <t xml:space="preserve">WA_KIN_Com_0026</t>
  </si>
  <si>
    <t xml:space="preserve">9666 Main St</t>
  </si>
  <si>
    <t xml:space="preserve">94643</t>
  </si>
  <si>
    <t xml:space="preserve">WA_KIN_Com_0027</t>
  </si>
  <si>
    <t xml:space="preserve">4403 Main St</t>
  </si>
  <si>
    <t xml:space="preserve">89550</t>
  </si>
  <si>
    <t xml:space="preserve">WA_KIN_Com_0028</t>
  </si>
  <si>
    <t xml:space="preserve">3498 Main St</t>
  </si>
  <si>
    <t xml:space="preserve">81794</t>
  </si>
  <si>
    <t xml:space="preserve">WA_KIN_Com_0029</t>
  </si>
  <si>
    <t xml:space="preserve">84944</t>
  </si>
  <si>
    <t xml:space="preserve">WA_KIN_Com_0030</t>
  </si>
  <si>
    <t xml:space="preserve">4286 Main St</t>
  </si>
  <si>
    <t xml:space="preserve">81852</t>
  </si>
  <si>
    <t xml:space="preserve">WA_KIN_Com_0031</t>
  </si>
  <si>
    <t xml:space="preserve">6521 Main St</t>
  </si>
  <si>
    <t xml:space="preserve">92781</t>
  </si>
  <si>
    <t xml:space="preserve">WA_KIN_Com_0032</t>
  </si>
  <si>
    <t xml:space="preserve">8896 Main St</t>
  </si>
  <si>
    <t xml:space="preserve">82606</t>
  </si>
  <si>
    <t xml:space="preserve">WA_KIN_Com_0033</t>
  </si>
  <si>
    <t xml:space="preserve">1844 Main St</t>
  </si>
  <si>
    <t xml:space="preserve">84268</t>
  </si>
  <si>
    <t xml:space="preserve">WA_KIN_Com_0034</t>
  </si>
  <si>
    <t xml:space="preserve">6323 Main St</t>
  </si>
  <si>
    <t xml:space="preserve">90601</t>
  </si>
  <si>
    <t xml:space="preserve">WA_KIN_Com_0035</t>
  </si>
  <si>
    <t xml:space="preserve">8877 Main St</t>
  </si>
  <si>
    <t xml:space="preserve">84660</t>
  </si>
  <si>
    <t xml:space="preserve">WA_KIN_Com_0036</t>
  </si>
  <si>
    <t xml:space="preserve">545 Main St</t>
  </si>
  <si>
    <t xml:space="preserve">97908</t>
  </si>
  <si>
    <t xml:space="preserve">WA_KIN_Com_0037</t>
  </si>
  <si>
    <t xml:space="preserve">1757 Main St</t>
  </si>
  <si>
    <t xml:space="preserve">80232</t>
  </si>
  <si>
    <t xml:space="preserve">WA_KIN_Com_0038</t>
  </si>
  <si>
    <t xml:space="preserve">4691 Main St</t>
  </si>
  <si>
    <t xml:space="preserve">81757</t>
  </si>
  <si>
    <t xml:space="preserve">WA_KIN_Com_0039</t>
  </si>
  <si>
    <t xml:space="preserve">7186 Main St</t>
  </si>
  <si>
    <t xml:space="preserve">85414</t>
  </si>
  <si>
    <t xml:space="preserve">WA_KIN_Com_0040</t>
  </si>
  <si>
    <t xml:space="preserve">6920 Main St</t>
  </si>
  <si>
    <t xml:space="preserve">98046</t>
  </si>
  <si>
    <t xml:space="preserve">WA_KIN_Com_0041</t>
  </si>
  <si>
    <t xml:space="preserve">2016 Main St</t>
  </si>
  <si>
    <t xml:space="preserve">95396</t>
  </si>
  <si>
    <t xml:space="preserve">WA_KIN_Com_0042</t>
  </si>
  <si>
    <t xml:space="preserve">1015 Main St</t>
  </si>
  <si>
    <t xml:space="preserve">97451</t>
  </si>
  <si>
    <t xml:space="preserve">WA_KIN_Com_0043</t>
  </si>
  <si>
    <t xml:space="preserve">4021 Main St</t>
  </si>
  <si>
    <t xml:space="preserve">89507</t>
  </si>
  <si>
    <t xml:space="preserve">WA_KIN_Com_0044</t>
  </si>
  <si>
    <t xml:space="preserve">80640</t>
  </si>
  <si>
    <t xml:space="preserve">WA_KIN_Com_0045</t>
  </si>
  <si>
    <t xml:space="preserve">3703 Main St</t>
  </si>
  <si>
    <t xml:space="preserve">96401</t>
  </si>
  <si>
    <t xml:space="preserve">WA_KIN_Com_0046</t>
  </si>
  <si>
    <t xml:space="preserve">5393 Main St</t>
  </si>
  <si>
    <t xml:space="preserve">WA_KIN_Com_0047</t>
  </si>
  <si>
    <t xml:space="preserve">2446 Main St</t>
  </si>
  <si>
    <t xml:space="preserve">82365</t>
  </si>
  <si>
    <t xml:space="preserve">WA_KIN_Com_0048</t>
  </si>
  <si>
    <t xml:space="preserve">4350 Main St</t>
  </si>
  <si>
    <t xml:space="preserve">90017</t>
  </si>
  <si>
    <t xml:space="preserve">WA_KIN_Com_0049</t>
  </si>
  <si>
    <t xml:space="preserve">9573 Main St</t>
  </si>
  <si>
    <t xml:space="preserve">88312</t>
  </si>
  <si>
    <t xml:space="preserve">WA_KIN_Com_0050</t>
  </si>
  <si>
    <t xml:space="preserve">4098 Main St</t>
  </si>
  <si>
    <t xml:space="preserve">84850</t>
  </si>
  <si>
    <t xml:space="preserve">WA_KIN_Com_0051</t>
  </si>
  <si>
    <t xml:space="preserve">8328 Main St</t>
  </si>
  <si>
    <t xml:space="preserve">83276</t>
  </si>
  <si>
    <t xml:space="preserve">WA_KIN_Com_0052</t>
  </si>
  <si>
    <t xml:space="preserve">9841 Main St</t>
  </si>
  <si>
    <t xml:space="preserve">93039</t>
  </si>
  <si>
    <t xml:space="preserve">WA_KIN_Com_0053</t>
  </si>
  <si>
    <t xml:space="preserve">4973 Main St</t>
  </si>
  <si>
    <t xml:space="preserve">85632</t>
  </si>
  <si>
    <t xml:space="preserve">WA_KIN_Com_0054</t>
  </si>
  <si>
    <t xml:space="preserve">7762 Main St</t>
  </si>
  <si>
    <t xml:space="preserve">85586</t>
  </si>
  <si>
    <t xml:space="preserve">WA_KIN_Com_0055</t>
  </si>
  <si>
    <t xml:space="preserve">6088 Main St</t>
  </si>
  <si>
    <t xml:space="preserve">86464</t>
  </si>
  <si>
    <t xml:space="preserve">WA_KIN_Com_0056</t>
  </si>
  <si>
    <t xml:space="preserve">7722 Main St</t>
  </si>
  <si>
    <t xml:space="preserve">91567</t>
  </si>
  <si>
    <t xml:space="preserve">WA_KIN_Com_0057</t>
  </si>
  <si>
    <t xml:space="preserve">1280 Main St</t>
  </si>
  <si>
    <t xml:space="preserve">89875</t>
  </si>
  <si>
    <t xml:space="preserve">WA_KIN_Com_0058</t>
  </si>
  <si>
    <t xml:space="preserve">3171 Main St</t>
  </si>
  <si>
    <t xml:space="preserve">86377</t>
  </si>
  <si>
    <t xml:space="preserve">WA_KIN_Com_0059</t>
  </si>
  <si>
    <t xml:space="preserve">8809 Main St</t>
  </si>
  <si>
    <t xml:space="preserve">92403</t>
  </si>
  <si>
    <t xml:space="preserve">WA_PIE_Res_0000</t>
  </si>
  <si>
    <t xml:space="preserve">Pierce</t>
  </si>
  <si>
    <t xml:space="preserve">PIERCE</t>
  </si>
  <si>
    <t xml:space="preserve">96467</t>
  </si>
  <si>
    <t xml:space="preserve">WB_Residential_Pierce_County_WA.csv</t>
  </si>
  <si>
    <t xml:space="preserve">WA_PIE_Res_0001</t>
  </si>
  <si>
    <t xml:space="preserve">1148 Main St</t>
  </si>
  <si>
    <t xml:space="preserve">97636</t>
  </si>
  <si>
    <t xml:space="preserve">WA_PIE_Res_0002</t>
  </si>
  <si>
    <t xml:space="preserve">8150 Main St</t>
  </si>
  <si>
    <t xml:space="preserve">87445</t>
  </si>
  <si>
    <t xml:space="preserve">WA_PIE_Res_0003</t>
  </si>
  <si>
    <t xml:space="preserve">1885 Main St</t>
  </si>
  <si>
    <t xml:space="preserve">89843</t>
  </si>
  <si>
    <t xml:space="preserve">WA_PIE_Res_0004</t>
  </si>
  <si>
    <t xml:space="preserve">2629 Main St</t>
  </si>
  <si>
    <t xml:space="preserve">92296</t>
  </si>
  <si>
    <t xml:space="preserve">WA_PIE_Res_0005</t>
  </si>
  <si>
    <t xml:space="preserve">2316 Main St</t>
  </si>
  <si>
    <t xml:space="preserve">94446</t>
  </si>
  <si>
    <t xml:space="preserve">WA_PIE_Res_0006</t>
  </si>
  <si>
    <t xml:space="preserve">89260</t>
  </si>
  <si>
    <t xml:space="preserve">WA_PIE_Res_0007</t>
  </si>
  <si>
    <t xml:space="preserve">92805</t>
  </si>
  <si>
    <t xml:space="preserve">WA_PIE_Res_0008</t>
  </si>
  <si>
    <t xml:space="preserve">6363 Main St</t>
  </si>
  <si>
    <t xml:space="preserve">93173</t>
  </si>
  <si>
    <t xml:space="preserve">WA_PIE_Res_0009</t>
  </si>
  <si>
    <t xml:space="preserve">8494 Main St</t>
  </si>
  <si>
    <t xml:space="preserve">93156</t>
  </si>
  <si>
    <t xml:space="preserve">WA_PIE_Res_0010</t>
  </si>
  <si>
    <t xml:space="preserve">4640 Main St</t>
  </si>
  <si>
    <t xml:space="preserve">85520</t>
  </si>
  <si>
    <t xml:space="preserve">WA_PIE_Res_0011</t>
  </si>
  <si>
    <t xml:space="preserve">85367</t>
  </si>
  <si>
    <t xml:space="preserve">WA_PIE_Res_0012</t>
  </si>
  <si>
    <t xml:space="preserve">98805</t>
  </si>
  <si>
    <t xml:space="preserve">WA_PIE_Res_0013</t>
  </si>
  <si>
    <t xml:space="preserve">2852 Main St</t>
  </si>
  <si>
    <t xml:space="preserve">93834</t>
  </si>
  <si>
    <t xml:space="preserve">WA_PIE_Res_0014</t>
  </si>
  <si>
    <t xml:space="preserve">WA_PIE_Res_0015</t>
  </si>
  <si>
    <t xml:space="preserve">8252 Main St</t>
  </si>
  <si>
    <t xml:space="preserve">93653</t>
  </si>
  <si>
    <t xml:space="preserve">WA_PIE_Res_0016</t>
  </si>
  <si>
    <t xml:space="preserve">7092 Main St</t>
  </si>
  <si>
    <t xml:space="preserve">86331</t>
  </si>
  <si>
    <t xml:space="preserve">WA_PIE_Res_0017</t>
  </si>
  <si>
    <t xml:space="preserve">9385 Main St</t>
  </si>
  <si>
    <t xml:space="preserve">99046</t>
  </si>
  <si>
    <t xml:space="preserve">WA_PIE_Res_0018</t>
  </si>
  <si>
    <t xml:space="preserve">8106 Main St</t>
  </si>
  <si>
    <t xml:space="preserve">87644</t>
  </si>
  <si>
    <t xml:space="preserve">WA_PIE_Res_0019</t>
  </si>
  <si>
    <t xml:space="preserve">2515 Main St</t>
  </si>
  <si>
    <t xml:space="preserve">98691</t>
  </si>
  <si>
    <t xml:space="preserve">WA_PIE_Res_0020</t>
  </si>
  <si>
    <t xml:space="preserve">93458</t>
  </si>
  <si>
    <t xml:space="preserve">WA_PIE_Res_0021</t>
  </si>
  <si>
    <t xml:space="preserve">7441 Main St</t>
  </si>
  <si>
    <t xml:space="preserve">89134</t>
  </si>
  <si>
    <t xml:space="preserve">WA_PIE_Res_0022</t>
  </si>
  <si>
    <t xml:space="preserve">3730 Main St</t>
  </si>
  <si>
    <t xml:space="preserve">84143</t>
  </si>
  <si>
    <t xml:space="preserve">WA_PIE_Res_0023</t>
  </si>
  <si>
    <t xml:space="preserve">3616 Main St</t>
  </si>
  <si>
    <t xml:space="preserve">90219</t>
  </si>
  <si>
    <t xml:space="preserve">WA_PIE_Res_0024</t>
  </si>
  <si>
    <t xml:space="preserve">7126 Main St</t>
  </si>
  <si>
    <t xml:space="preserve">85815</t>
  </si>
  <si>
    <t xml:space="preserve">WA_PIE_Res_0025</t>
  </si>
  <si>
    <t xml:space="preserve">5079 Main St</t>
  </si>
  <si>
    <t xml:space="preserve">WA_PIE_Res_0026</t>
  </si>
  <si>
    <t xml:space="preserve">437 Main St</t>
  </si>
  <si>
    <t xml:space="preserve">89662</t>
  </si>
  <si>
    <t xml:space="preserve">WA_PIE_Res_0027</t>
  </si>
  <si>
    <t xml:space="preserve">5912 Main St</t>
  </si>
  <si>
    <t xml:space="preserve">92212</t>
  </si>
  <si>
    <t xml:space="preserve">WA_PIE_Res_0028</t>
  </si>
  <si>
    <t xml:space="preserve">2080 Main St</t>
  </si>
  <si>
    <t xml:space="preserve">80568</t>
  </si>
  <si>
    <t xml:space="preserve">WA_PIE_Res_0029</t>
  </si>
  <si>
    <t xml:space="preserve">9593 Main St</t>
  </si>
  <si>
    <t xml:space="preserve">87183</t>
  </si>
  <si>
    <t xml:space="preserve">WA_PIE_Res_0030</t>
  </si>
  <si>
    <t xml:space="preserve">9245 Main St</t>
  </si>
  <si>
    <t xml:space="preserve">99277</t>
  </si>
  <si>
    <t xml:space="preserve">WA_PIE_Res_0031</t>
  </si>
  <si>
    <t xml:space="preserve">92021</t>
  </si>
  <si>
    <t xml:space="preserve">WA_PIE_Res_0032</t>
  </si>
  <si>
    <t xml:space="preserve">84349</t>
  </si>
  <si>
    <t xml:space="preserve">WA_PIE_Res_0033</t>
  </si>
  <si>
    <t xml:space="preserve">1022 Main St</t>
  </si>
  <si>
    <t xml:space="preserve">80139</t>
  </si>
  <si>
    <t xml:space="preserve">WA_PIE_Res_0034</t>
  </si>
  <si>
    <t xml:space="preserve">2924 Main St</t>
  </si>
  <si>
    <t xml:space="preserve">87209</t>
  </si>
  <si>
    <t xml:space="preserve">WA_PIE_Res_0035</t>
  </si>
  <si>
    <t xml:space="preserve">8607 Main St</t>
  </si>
  <si>
    <t xml:space="preserve">88932</t>
  </si>
  <si>
    <t xml:space="preserve">WA_PIE_Res_0036</t>
  </si>
  <si>
    <t xml:space="preserve">99802</t>
  </si>
  <si>
    <t xml:space="preserve">WA_PIE_Res_0037</t>
  </si>
  <si>
    <t xml:space="preserve">8314 Main St</t>
  </si>
  <si>
    <t xml:space="preserve">85475</t>
  </si>
  <si>
    <t xml:space="preserve">WA_PIE_Res_0038</t>
  </si>
  <si>
    <t xml:space="preserve">8699 Main St</t>
  </si>
  <si>
    <t xml:space="preserve">94252</t>
  </si>
  <si>
    <t xml:space="preserve">WA_PIE_Res_0039</t>
  </si>
  <si>
    <t xml:space="preserve">5653 Main St</t>
  </si>
  <si>
    <t xml:space="preserve">91944</t>
  </si>
  <si>
    <t xml:space="preserve">WA_PIE_Res_0040</t>
  </si>
  <si>
    <t xml:space="preserve">99983</t>
  </si>
  <si>
    <t xml:space="preserve">WA_PIE_Res_0041</t>
  </si>
  <si>
    <t xml:space="preserve">9957 Main St</t>
  </si>
  <si>
    <t xml:space="preserve">95221</t>
  </si>
  <si>
    <t xml:space="preserve">WA_PIE_Res_0042</t>
  </si>
  <si>
    <t xml:space="preserve">5244 Main St</t>
  </si>
  <si>
    <t xml:space="preserve">83366</t>
  </si>
  <si>
    <t xml:space="preserve">WA_PIE_Res_0043</t>
  </si>
  <si>
    <t xml:space="preserve">6243 Main St</t>
  </si>
  <si>
    <t xml:space="preserve">98594</t>
  </si>
  <si>
    <t xml:space="preserve">WA_PIE_Res_0044</t>
  </si>
  <si>
    <t xml:space="preserve">7265 Main St</t>
  </si>
  <si>
    <t xml:space="preserve">96148</t>
  </si>
  <si>
    <t xml:space="preserve">WA_PIE_Res_0045</t>
  </si>
  <si>
    <t xml:space="preserve">6235 Main St</t>
  </si>
  <si>
    <t xml:space="preserve">96767</t>
  </si>
  <si>
    <t xml:space="preserve">WA_PIE_Res_0046</t>
  </si>
  <si>
    <t xml:space="preserve">8584 Main St</t>
  </si>
  <si>
    <t xml:space="preserve">80564</t>
  </si>
  <si>
    <t xml:space="preserve">WA_PIE_Res_0047</t>
  </si>
  <si>
    <t xml:space="preserve">2521 Main St</t>
  </si>
  <si>
    <t xml:space="preserve">82515</t>
  </si>
  <si>
    <t xml:space="preserve">WA_PIE_Res_0048</t>
  </si>
  <si>
    <t xml:space="preserve">5900 Main St</t>
  </si>
  <si>
    <t xml:space="preserve">99997</t>
  </si>
  <si>
    <t xml:space="preserve">WA_PIE_Res_0049</t>
  </si>
  <si>
    <t xml:space="preserve">83073</t>
  </si>
  <si>
    <t xml:space="preserve">WA_PIE_Res_0050</t>
  </si>
  <si>
    <t xml:space="preserve">8377 Main St</t>
  </si>
  <si>
    <t xml:space="preserve">89534</t>
  </si>
  <si>
    <t xml:space="preserve">WA_PIE_Res_0051</t>
  </si>
  <si>
    <t xml:space="preserve">3016 Main St</t>
  </si>
  <si>
    <t xml:space="preserve">89229</t>
  </si>
  <si>
    <t xml:space="preserve">WA_PIE_Res_0052</t>
  </si>
  <si>
    <t xml:space="preserve">501 Main St</t>
  </si>
  <si>
    <t xml:space="preserve">96159</t>
  </si>
  <si>
    <t xml:space="preserve">WA_PIE_Res_0053</t>
  </si>
  <si>
    <t xml:space="preserve">1288 Main St</t>
  </si>
  <si>
    <t xml:space="preserve">86139</t>
  </si>
  <si>
    <t xml:space="preserve">WA_PIE_Res_0054</t>
  </si>
  <si>
    <t xml:space="preserve">9211 Main St</t>
  </si>
  <si>
    <t xml:space="preserve">97263</t>
  </si>
  <si>
    <t xml:space="preserve">WA_PIE_Res_0055</t>
  </si>
  <si>
    <t xml:space="preserve">5272 Main St</t>
  </si>
  <si>
    <t xml:space="preserve">WA_PIE_Res_0056</t>
  </si>
  <si>
    <t xml:space="preserve">9865 Main St</t>
  </si>
  <si>
    <t xml:space="preserve">90376</t>
  </si>
  <si>
    <t xml:space="preserve">WA_PIE_Res_0057</t>
  </si>
  <si>
    <t xml:space="preserve">87174</t>
  </si>
  <si>
    <t xml:space="preserve">WA_PIE_Res_0058</t>
  </si>
  <si>
    <t xml:space="preserve">5152 Main St</t>
  </si>
  <si>
    <t xml:space="preserve">81443</t>
  </si>
  <si>
    <t xml:space="preserve">WA_PIE_Res_0059</t>
  </si>
  <si>
    <t xml:space="preserve">83434</t>
  </si>
  <si>
    <t xml:space="preserve">WA_PIE_Com_0000</t>
  </si>
  <si>
    <t xml:space="preserve">4223 Main St</t>
  </si>
  <si>
    <t xml:space="preserve">87015</t>
  </si>
  <si>
    <t xml:space="preserve">WB_Commercial_Pierce_County_WA.csv</t>
  </si>
  <si>
    <t xml:space="preserve">WA_PIE_Com_0001</t>
  </si>
  <si>
    <t xml:space="preserve">2635 Main St</t>
  </si>
  <si>
    <t xml:space="preserve">WA_PIE_Com_0002</t>
  </si>
  <si>
    <t xml:space="preserve">468 Main St</t>
  </si>
  <si>
    <t xml:space="preserve">88041</t>
  </si>
  <si>
    <t xml:space="preserve">WA_PIE_Com_0003</t>
  </si>
  <si>
    <t xml:space="preserve">7814 Main St</t>
  </si>
  <si>
    <t xml:space="preserve">84885</t>
  </si>
  <si>
    <t xml:space="preserve">WA_PIE_Com_0004</t>
  </si>
  <si>
    <t xml:space="preserve">1153 Main St</t>
  </si>
  <si>
    <t xml:space="preserve">81818</t>
  </si>
  <si>
    <t xml:space="preserve">WA_PIE_Com_0005</t>
  </si>
  <si>
    <t xml:space="preserve">97438</t>
  </si>
  <si>
    <t xml:space="preserve">WA_PIE_Com_0006</t>
  </si>
  <si>
    <t xml:space="preserve">5323 Main St</t>
  </si>
  <si>
    <t xml:space="preserve">90585</t>
  </si>
  <si>
    <t xml:space="preserve">WA_PIE_Com_0007</t>
  </si>
  <si>
    <t xml:space="preserve">510 Main St</t>
  </si>
  <si>
    <t xml:space="preserve">92172</t>
  </si>
  <si>
    <t xml:space="preserve">WA_PIE_Com_0008</t>
  </si>
  <si>
    <t xml:space="preserve">9956 Main St</t>
  </si>
  <si>
    <t xml:space="preserve">82679</t>
  </si>
  <si>
    <t xml:space="preserve">WA_PIE_Com_0009</t>
  </si>
  <si>
    <t xml:space="preserve">8359 Main St</t>
  </si>
  <si>
    <t xml:space="preserve">99909</t>
  </si>
  <si>
    <t xml:space="preserve">WA_PIE_Com_0010</t>
  </si>
  <si>
    <t xml:space="preserve">7813 Main St</t>
  </si>
  <si>
    <t xml:space="preserve">92402</t>
  </si>
  <si>
    <t xml:space="preserve">WA_PIE_Com_0011</t>
  </si>
  <si>
    <t xml:space="preserve">90717</t>
  </si>
  <si>
    <t xml:space="preserve">WA_PIE_Com_0012</t>
  </si>
  <si>
    <t xml:space="preserve">6044 Main St</t>
  </si>
  <si>
    <t xml:space="preserve">WA_PIE_Com_0013</t>
  </si>
  <si>
    <t xml:space="preserve">1741 Main St</t>
  </si>
  <si>
    <t xml:space="preserve">99019</t>
  </si>
  <si>
    <t xml:space="preserve">WA_PIE_Com_0014</t>
  </si>
  <si>
    <t xml:space="preserve">257 Main St</t>
  </si>
  <si>
    <t xml:space="preserve">84396</t>
  </si>
  <si>
    <t xml:space="preserve">WA_PIE_Com_0015</t>
  </si>
  <si>
    <t xml:space="preserve">8386 Main St</t>
  </si>
  <si>
    <t xml:space="preserve">89495</t>
  </si>
  <si>
    <t xml:space="preserve">WA_PIE_Com_0016</t>
  </si>
  <si>
    <t xml:space="preserve">9338 Main St</t>
  </si>
  <si>
    <t xml:space="preserve">81642</t>
  </si>
  <si>
    <t xml:space="preserve">WA_PIE_Com_0017</t>
  </si>
  <si>
    <t xml:space="preserve">2696 Main St</t>
  </si>
  <si>
    <t xml:space="preserve">93344</t>
  </si>
  <si>
    <t xml:space="preserve">WA_PIE_Com_0018</t>
  </si>
  <si>
    <t xml:space="preserve">8603 Main St</t>
  </si>
  <si>
    <t xml:space="preserve">99550</t>
  </si>
  <si>
    <t xml:space="preserve">WA_PIE_Com_0019</t>
  </si>
  <si>
    <t xml:space="preserve">7023 Main St</t>
  </si>
  <si>
    <t xml:space="preserve">91753</t>
  </si>
  <si>
    <t xml:space="preserve">WA_PIE_Com_0020</t>
  </si>
  <si>
    <t xml:space="preserve">6743 Main St</t>
  </si>
  <si>
    <t xml:space="preserve">80292</t>
  </si>
  <si>
    <t xml:space="preserve">WA_PIE_Com_0021</t>
  </si>
  <si>
    <t xml:space="preserve">4178 Main St</t>
  </si>
  <si>
    <t xml:space="preserve">83006</t>
  </si>
  <si>
    <t xml:space="preserve">WA_PIE_Com_0022</t>
  </si>
  <si>
    <t xml:space="preserve">2325 Main St</t>
  </si>
  <si>
    <t xml:space="preserve">92779</t>
  </si>
  <si>
    <t xml:space="preserve">WA_PIE_Com_0023</t>
  </si>
  <si>
    <t xml:space="preserve">268 Main St</t>
  </si>
  <si>
    <t xml:space="preserve">87227</t>
  </si>
  <si>
    <t xml:space="preserve">WA_PIE_Com_0024</t>
  </si>
  <si>
    <t xml:space="preserve">4028 Main St</t>
  </si>
  <si>
    <t xml:space="preserve">86797</t>
  </si>
  <si>
    <t xml:space="preserve">WA_PIE_Com_0025</t>
  </si>
  <si>
    <t xml:space="preserve">2452 Main St</t>
  </si>
  <si>
    <t xml:space="preserve">99405</t>
  </si>
  <si>
    <t xml:space="preserve">WA_PIE_Com_0026</t>
  </si>
  <si>
    <t xml:space="preserve">6020 Main St</t>
  </si>
  <si>
    <t xml:space="preserve">85653</t>
  </si>
  <si>
    <t xml:space="preserve">WA_PIE_Com_0027</t>
  </si>
  <si>
    <t xml:space="preserve">4356 Main St</t>
  </si>
  <si>
    <t xml:space="preserve">84293</t>
  </si>
  <si>
    <t xml:space="preserve">WA_PIE_Com_0028</t>
  </si>
  <si>
    <t xml:space="preserve">9478 Main St</t>
  </si>
  <si>
    <t xml:space="preserve">94518</t>
  </si>
  <si>
    <t xml:space="preserve">WA_PIE_Com_0029</t>
  </si>
  <si>
    <t xml:space="preserve">7015 Main St</t>
  </si>
  <si>
    <t xml:space="preserve">99654</t>
  </si>
  <si>
    <t xml:space="preserve">WA_PIE_Com_0030</t>
  </si>
  <si>
    <t xml:space="preserve">2811 Main St</t>
  </si>
  <si>
    <t xml:space="preserve">96253</t>
  </si>
  <si>
    <t xml:space="preserve">WA_PIE_Com_0031</t>
  </si>
  <si>
    <t xml:space="preserve">8005 Main St</t>
  </si>
  <si>
    <t xml:space="preserve">86652</t>
  </si>
  <si>
    <t xml:space="preserve">WA_PIE_Com_0032</t>
  </si>
  <si>
    <t xml:space="preserve">9885 Main St</t>
  </si>
  <si>
    <t xml:space="preserve">81522</t>
  </si>
  <si>
    <t xml:space="preserve">WA_PIE_Com_0033</t>
  </si>
  <si>
    <t xml:space="preserve">348 Main St</t>
  </si>
  <si>
    <t xml:space="preserve">88492</t>
  </si>
  <si>
    <t xml:space="preserve">WA_PIE_Com_0034</t>
  </si>
  <si>
    <t xml:space="preserve">2152 Main St</t>
  </si>
  <si>
    <t xml:space="preserve">94563</t>
  </si>
  <si>
    <t xml:space="preserve">WA_PIE_Com_0035</t>
  </si>
  <si>
    <t xml:space="preserve">2642 Main St</t>
  </si>
  <si>
    <t xml:space="preserve">87482</t>
  </si>
  <si>
    <t xml:space="preserve">WA_PIE_Com_0036</t>
  </si>
  <si>
    <t xml:space="preserve">8612 Main St</t>
  </si>
  <si>
    <t xml:space="preserve">WA_PIE_Com_0037</t>
  </si>
  <si>
    <t xml:space="preserve">6239 Main St</t>
  </si>
  <si>
    <t xml:space="preserve">97549</t>
  </si>
  <si>
    <t xml:space="preserve">WA_PIE_Com_0038</t>
  </si>
  <si>
    <t xml:space="preserve">8316 Main St</t>
  </si>
  <si>
    <t xml:space="preserve">86888</t>
  </si>
  <si>
    <t xml:space="preserve">WA_PIE_Com_0039</t>
  </si>
  <si>
    <t xml:space="preserve">8326 Main St</t>
  </si>
  <si>
    <t xml:space="preserve">92693</t>
  </si>
  <si>
    <t xml:space="preserve">WA_PIE_Com_0040</t>
  </si>
  <si>
    <t xml:space="preserve">6259 Main St</t>
  </si>
  <si>
    <t xml:space="preserve">99267</t>
  </si>
  <si>
    <t xml:space="preserve">WA_PIE_Com_0041</t>
  </si>
  <si>
    <t xml:space="preserve">1533 Main St</t>
  </si>
  <si>
    <t xml:space="preserve">82583</t>
  </si>
  <si>
    <t xml:space="preserve">WA_PIE_Com_0042</t>
  </si>
  <si>
    <t xml:space="preserve">3907 Main St</t>
  </si>
  <si>
    <t xml:space="preserve">82430</t>
  </si>
  <si>
    <t xml:space="preserve">WA_PIE_Com_0043</t>
  </si>
  <si>
    <t xml:space="preserve">9479 Main St</t>
  </si>
  <si>
    <t xml:space="preserve">84884</t>
  </si>
  <si>
    <t xml:space="preserve">WA_PIE_Com_0044</t>
  </si>
  <si>
    <t xml:space="preserve">5729 Main St</t>
  </si>
  <si>
    <t xml:space="preserve">99298</t>
  </si>
  <si>
    <t xml:space="preserve">WA_PIE_Com_0045</t>
  </si>
  <si>
    <t xml:space="preserve">9110 Main St</t>
  </si>
  <si>
    <t xml:space="preserve">90874</t>
  </si>
  <si>
    <t xml:space="preserve">WA_PIE_Com_0046</t>
  </si>
  <si>
    <t xml:space="preserve">9359 Main St</t>
  </si>
  <si>
    <t xml:space="preserve">94441</t>
  </si>
  <si>
    <t xml:space="preserve">WA_PIE_Com_0047</t>
  </si>
  <si>
    <t xml:space="preserve">2652 Main St</t>
  </si>
  <si>
    <t xml:space="preserve">WA_PIE_Com_0048</t>
  </si>
  <si>
    <t xml:space="preserve">4728 Main St</t>
  </si>
  <si>
    <t xml:space="preserve">96463</t>
  </si>
  <si>
    <t xml:space="preserve">WA_PIE_Com_0049</t>
  </si>
  <si>
    <t xml:space="preserve">7013 Main St</t>
  </si>
  <si>
    <t xml:space="preserve">87149</t>
  </si>
  <si>
    <t xml:space="preserve">WA_PIE_Com_0050</t>
  </si>
  <si>
    <t xml:space="preserve">4182 Main St</t>
  </si>
  <si>
    <t xml:space="preserve">91196</t>
  </si>
  <si>
    <t xml:space="preserve">WA_PIE_Com_0051</t>
  </si>
  <si>
    <t xml:space="preserve">7157 Main St</t>
  </si>
  <si>
    <t xml:space="preserve">80070</t>
  </si>
  <si>
    <t xml:space="preserve">WA_PIE_Com_0052</t>
  </si>
  <si>
    <t xml:space="preserve">6602 Main St</t>
  </si>
  <si>
    <t xml:space="preserve">94464</t>
  </si>
  <si>
    <t xml:space="preserve">WA_PIE_Com_0053</t>
  </si>
  <si>
    <t xml:space="preserve">6018 Main St</t>
  </si>
  <si>
    <t xml:space="preserve">84176</t>
  </si>
  <si>
    <t xml:space="preserve">WA_PIE_Com_0054</t>
  </si>
  <si>
    <t xml:space="preserve">4719 Main St</t>
  </si>
  <si>
    <t xml:space="preserve">88488</t>
  </si>
  <si>
    <t xml:space="preserve">WA_PIE_Com_0055</t>
  </si>
  <si>
    <t xml:space="preserve">6772 Main St</t>
  </si>
  <si>
    <t xml:space="preserve">98008</t>
  </si>
  <si>
    <t xml:space="preserve">WA_PIE_Com_0056</t>
  </si>
  <si>
    <t xml:space="preserve">5602 Main St</t>
  </si>
  <si>
    <t xml:space="preserve">89608</t>
  </si>
  <si>
    <t xml:space="preserve">WA_PIE_Com_0057</t>
  </si>
  <si>
    <t xml:space="preserve">2501 Main St</t>
  </si>
  <si>
    <t xml:space="preserve">86323</t>
  </si>
  <si>
    <t xml:space="preserve">WA_PIE_Com_0058</t>
  </si>
  <si>
    <t xml:space="preserve">8271 Main St</t>
  </si>
  <si>
    <t xml:space="preserve">96345</t>
  </si>
  <si>
    <t xml:space="preserve">WA_PIE_Com_0059</t>
  </si>
  <si>
    <t xml:space="preserve">95956</t>
  </si>
  <si>
    <t xml:space="preserve">Segment Summary</t>
  </si>
  <si>
    <t xml:space="preserve">Count</t>
  </si>
  <si>
    <t xml:space="preserve">A-tier</t>
  </si>
  <si>
    <t xml:space="preserve">Avg Score</t>
  </si>
  <si>
    <t xml:space="preserve">Avg Equity ($)</t>
  </si>
  <si>
    <t xml:space="preserve">Geo Tier Summary</t>
  </si>
  <si>
    <t xml:space="preserve">Field Reference</t>
  </si>
  <si>
    <t xml:space="preserve">Field</t>
  </si>
  <si>
    <t xml:space="preserve">Header</t>
  </si>
  <si>
    <t xml:space="preserve">Type</t>
  </si>
  <si>
    <t xml:space="preserve">owner_key</t>
  </si>
  <si>
    <t xml:space="preserve">text</t>
  </si>
  <si>
    <t xml:space="preserve">segment</t>
  </si>
  <si>
    <t xml:space="preserve">owner_name</t>
  </si>
  <si>
    <t xml:space="preserve">entity_type</t>
  </si>
  <si>
    <t xml:space="preserve">property_address</t>
  </si>
  <si>
    <t xml:space="preserve">city</t>
  </si>
  <si>
    <t xml:space="preserve">state</t>
  </si>
  <si>
    <t xml:space="preserve">county</t>
  </si>
  <si>
    <t xml:space="preserve">zip</t>
  </si>
  <si>
    <t xml:space="preserve">fips</t>
  </si>
  <si>
    <t xml:space="preserve">phone</t>
  </si>
  <si>
    <t xml:space="preserve">email</t>
  </si>
  <si>
    <t xml:space="preserve">market_value</t>
  </si>
  <si>
    <t xml:space="preserve">currency</t>
  </si>
  <si>
    <t xml:space="preserve">equity_est</t>
  </si>
  <si>
    <t xml:space="preserve">ownership_length_years</t>
  </si>
  <si>
    <t xml:space="preserve">number</t>
  </si>
  <si>
    <t xml:space="preserve">owner_age</t>
  </si>
  <si>
    <t xml:space="preserve">entity_age_years</t>
  </si>
  <si>
    <t xml:space="preserve">multi_property_count</t>
  </si>
  <si>
    <t xml:space="preserve">revenue_proxy</t>
  </si>
  <si>
    <t xml:space="preserve">propensity_score</t>
  </si>
  <si>
    <t xml:space="preserve">score</t>
  </si>
  <si>
    <t xml:space="preserve">propensity_decile</t>
  </si>
  <si>
    <t xml:space="preserve">propensity_tier</t>
  </si>
  <si>
    <t xml:space="preserve">priority_multiplier</t>
  </si>
  <si>
    <t xml:space="preserve">phase1_proba</t>
  </si>
  <si>
    <t xml:space="preserve">percent</t>
  </si>
  <si>
    <t xml:space="preserve">phase1_decile</t>
  </si>
  <si>
    <t xml:space="preserve">geo_tier</t>
  </si>
  <si>
    <t xml:space="preserve">source_file</t>
  </si>
  <si>
    <t xml:space="preserve">last_scored_date</t>
  </si>
  <si>
    <t xml:space="preserve">date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</si>
</sst>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#,##0;\(#,##0\);\-"/>
    <numFmt numFmtId="167" formatCode="0.0"/>
    <numFmt numFmtId="168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7" customFormat="false" ht="15" hidden="false" customHeight="false" outlineLevel="0" collapsed="false">
      <c r="A7" s="4" t="s">
        <v>7</v>
      </c>
    </row>
    <row r="8" customFormat="false" ht="15" hidden="false" customHeight="true" outlineLevel="0" collapsed="false">
      <c r="A8" s="5" t="s">
        <v>8</v>
      </c>
      <c r="B8" s="5"/>
      <c r="C8" s="5"/>
      <c r="D8" s="5"/>
      <c r="E8" s="5"/>
      <c r="F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</row>
    <row r="12" customFormat="false" ht="15" hidden="false" customHeight="false" outlineLevel="0" collapsed="false">
      <c r="A12" s="4" t="s">
        <v>9</v>
      </c>
    </row>
    <row r="13" customFormat="false" ht="15" hidden="false" customHeight="true" outlineLevel="0" collapsed="false">
      <c r="A13" s="5" t="s">
        <v>10</v>
      </c>
      <c r="B13" s="5"/>
      <c r="C13" s="5"/>
      <c r="D13" s="5"/>
      <c r="E13" s="5"/>
      <c r="F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</row>
    <row r="18" customFormat="false" ht="15" hidden="false" customHeight="false" outlineLevel="0" collapsed="false">
      <c r="A18" s="4" t="s">
        <v>11</v>
      </c>
    </row>
    <row r="19" customFormat="false" ht="15" hidden="false" customHeight="false" outlineLevel="0" collapsed="false">
      <c r="A19" s="3" t="s">
        <v>12</v>
      </c>
      <c r="B19" s="6" t="s">
        <v>13</v>
      </c>
      <c r="C19" s="6"/>
      <c r="D19" s="6"/>
      <c r="E19" s="6"/>
      <c r="F19" s="6"/>
    </row>
    <row r="20" customFormat="false" ht="15" hidden="false" customHeight="false" outlineLevel="0" collapsed="false">
      <c r="A20" s="3" t="s">
        <v>12</v>
      </c>
      <c r="B20" s="6" t="s">
        <v>14</v>
      </c>
      <c r="C20" s="6"/>
      <c r="D20" s="6"/>
      <c r="E20" s="6"/>
      <c r="F20" s="6"/>
    </row>
    <row r="21" customFormat="false" ht="15" hidden="false" customHeight="false" outlineLevel="0" collapsed="false">
      <c r="A21" s="3" t="s">
        <v>12</v>
      </c>
      <c r="B21" s="6" t="s">
        <v>15</v>
      </c>
      <c r="C21" s="6"/>
      <c r="D21" s="6"/>
      <c r="E21" s="6"/>
      <c r="F21" s="6"/>
    </row>
    <row r="22" customFormat="false" ht="15" hidden="false" customHeight="false" outlineLevel="0" collapsed="false">
      <c r="A22" s="3" t="s">
        <v>12</v>
      </c>
      <c r="B22" s="6" t="s">
        <v>16</v>
      </c>
      <c r="C22" s="6"/>
      <c r="D22" s="6"/>
      <c r="E22" s="6"/>
      <c r="F22" s="6"/>
    </row>
    <row r="23" customFormat="false" ht="15" hidden="false" customHeight="false" outlineLevel="0" collapsed="false">
      <c r="A23" s="3" t="s">
        <v>12</v>
      </c>
      <c r="B23" s="6" t="s">
        <v>17</v>
      </c>
      <c r="C23" s="6"/>
      <c r="D23" s="6"/>
      <c r="E23" s="6"/>
      <c r="F23" s="6"/>
    </row>
    <row r="24" customFormat="false" ht="15" hidden="false" customHeight="false" outlineLevel="0" collapsed="false">
      <c r="A24" s="3" t="s">
        <v>12</v>
      </c>
      <c r="B24" s="6" t="s">
        <v>18</v>
      </c>
      <c r="C24" s="6"/>
      <c r="D24" s="6"/>
      <c r="E24" s="6"/>
      <c r="F24" s="6"/>
    </row>
  </sheetData>
  <mergeCells count="9">
    <mergeCell ref="A1:F1"/>
    <mergeCell ref="A8:F10"/>
    <mergeCell ref="A13:F16"/>
    <mergeCell ref="B19:F19"/>
    <mergeCell ref="B20:F20"/>
    <mergeCell ref="B21:F21"/>
    <mergeCell ref="B22:F22"/>
    <mergeCell ref="B23:F23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7" min="7" style="0" width="7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26"/>
    <col collapsed="false" customWidth="true" hidden="false" outlineLevel="0" max="14" min="13" style="0" width="14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13"/>
    <col collapsed="false" customWidth="true" hidden="false" outlineLevel="0" max="18" min="18" style="0" width="17"/>
    <col collapsed="false" customWidth="true" hidden="false" outlineLevel="0" max="19" min="19" style="0" width="14"/>
    <col collapsed="false" customWidth="true" hidden="false" outlineLevel="0" max="20" min="20" style="0" width="18"/>
    <col collapsed="false" customWidth="true" hidden="false" outlineLevel="0" max="21" min="21" style="0" width="12"/>
    <col collapsed="false" customWidth="true" hidden="false" outlineLevel="0" max="22" min="22" style="0" width="10"/>
    <col collapsed="false" customWidth="true" hidden="false" outlineLevel="0" max="23" min="23" style="0" width="14"/>
    <col collapsed="false" customWidth="true" hidden="false" outlineLevel="0" max="24" min="24" style="0" width="17"/>
    <col collapsed="false" customWidth="true" hidden="false" outlineLevel="0" max="25" min="25" style="0" width="13"/>
    <col collapsed="false" customWidth="true" hidden="false" outlineLevel="0" max="26" min="26" style="0" width="22"/>
    <col collapsed="false" customWidth="true" hidden="false" outlineLevel="0" max="27" min="27" style="0" width="28"/>
    <col collapsed="false" customWidth="true" hidden="false" outlineLevel="0" max="28" min="28" style="0" width="12"/>
  </cols>
  <sheetData>
    <row r="1" customFormat="false" ht="23.85" hidden="false" customHeight="false" outlineLevel="0" collapsed="false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31</v>
      </c>
      <c r="N1" s="7" t="s">
        <v>32</v>
      </c>
      <c r="O1" s="7" t="s">
        <v>33</v>
      </c>
      <c r="P1" s="7" t="s">
        <v>34</v>
      </c>
      <c r="Q1" s="7" t="s">
        <v>35</v>
      </c>
      <c r="R1" s="7" t="s">
        <v>36</v>
      </c>
      <c r="S1" s="7" t="s">
        <v>37</v>
      </c>
      <c r="T1" s="7" t="s">
        <v>38</v>
      </c>
      <c r="U1" s="7" t="s">
        <v>39</v>
      </c>
      <c r="V1" s="7" t="s">
        <v>40</v>
      </c>
      <c r="W1" s="7" t="s">
        <v>41</v>
      </c>
      <c r="X1" s="7" t="s">
        <v>42</v>
      </c>
      <c r="Y1" s="7" t="s">
        <v>43</v>
      </c>
      <c r="Z1" s="7" t="s">
        <v>44</v>
      </c>
      <c r="AA1" s="7" t="s">
        <v>45</v>
      </c>
      <c r="AB1" s="7" t="s">
        <v>46</v>
      </c>
    </row>
    <row r="2" customFormat="false" ht="15" hidden="false" customHeight="false" outlineLevel="0" collapsed="false">
      <c r="A2" s="3" t="s">
        <v>47</v>
      </c>
      <c r="B2" s="3" t="s">
        <v>48</v>
      </c>
      <c r="C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M2" s="8" t="n">
        <v>766809</v>
      </c>
      <c r="N2" s="8" t="n">
        <v>367123</v>
      </c>
      <c r="O2" s="9" t="n">
        <v>9.4</v>
      </c>
      <c r="P2" s="9" t="n">
        <v>62</v>
      </c>
      <c r="R2" s="9" t="n">
        <v>1</v>
      </c>
      <c r="T2" s="10" t="n">
        <v>39.2</v>
      </c>
      <c r="U2" s="9" t="n">
        <v>8</v>
      </c>
      <c r="V2" s="3" t="s">
        <v>55</v>
      </c>
      <c r="W2" s="9" t="n">
        <v>1</v>
      </c>
      <c r="Z2" s="3" t="s">
        <v>56</v>
      </c>
      <c r="AA2" s="3" t="s">
        <v>57</v>
      </c>
      <c r="AB2" s="11" t="n">
        <v>46127</v>
      </c>
    </row>
    <row r="3" customFormat="false" ht="15" hidden="false" customHeight="false" outlineLevel="0" collapsed="false">
      <c r="A3" s="3" t="s">
        <v>58</v>
      </c>
      <c r="B3" s="3" t="s">
        <v>48</v>
      </c>
      <c r="C3" s="3" t="s">
        <v>59</v>
      </c>
      <c r="E3" s="3" t="s">
        <v>60</v>
      </c>
      <c r="F3" s="3" t="s">
        <v>51</v>
      </c>
      <c r="G3" s="3" t="s">
        <v>52</v>
      </c>
      <c r="H3" s="3" t="s">
        <v>53</v>
      </c>
      <c r="I3" s="3" t="s">
        <v>61</v>
      </c>
      <c r="M3" s="8" t="n">
        <v>346487</v>
      </c>
      <c r="N3" s="8" t="n">
        <v>186245</v>
      </c>
      <c r="O3" s="9" t="n">
        <v>17.3</v>
      </c>
      <c r="P3" s="9" t="n">
        <v>44</v>
      </c>
      <c r="R3" s="9" t="n">
        <v>1</v>
      </c>
      <c r="T3" s="10" t="n">
        <v>88.9</v>
      </c>
      <c r="U3" s="9" t="n">
        <v>5</v>
      </c>
      <c r="V3" s="3" t="s">
        <v>62</v>
      </c>
      <c r="W3" s="9" t="n">
        <v>1</v>
      </c>
      <c r="Z3" s="3" t="s">
        <v>56</v>
      </c>
      <c r="AA3" s="3" t="s">
        <v>57</v>
      </c>
      <c r="AB3" s="11" t="n">
        <v>46127</v>
      </c>
    </row>
    <row r="4" customFormat="false" ht="15" hidden="false" customHeight="false" outlineLevel="0" collapsed="false">
      <c r="A4" s="3" t="s">
        <v>63</v>
      </c>
      <c r="B4" s="3" t="s">
        <v>48</v>
      </c>
      <c r="C4" s="3" t="s">
        <v>64</v>
      </c>
      <c r="E4" s="3" t="s">
        <v>65</v>
      </c>
      <c r="F4" s="3" t="s">
        <v>51</v>
      </c>
      <c r="G4" s="3" t="s">
        <v>52</v>
      </c>
      <c r="H4" s="3" t="s">
        <v>53</v>
      </c>
      <c r="I4" s="3" t="s">
        <v>66</v>
      </c>
      <c r="M4" s="8" t="n">
        <v>462015</v>
      </c>
      <c r="N4" s="8" t="n">
        <v>425392</v>
      </c>
      <c r="O4" s="9" t="n">
        <v>17.3</v>
      </c>
      <c r="P4" s="9" t="n">
        <v>54</v>
      </c>
      <c r="R4" s="9" t="n">
        <v>3</v>
      </c>
      <c r="T4" s="10" t="n">
        <v>68.4</v>
      </c>
      <c r="U4" s="9" t="n">
        <v>8</v>
      </c>
      <c r="V4" s="3" t="s">
        <v>55</v>
      </c>
      <c r="W4" s="9" t="n">
        <v>1</v>
      </c>
      <c r="Z4" s="3" t="s">
        <v>56</v>
      </c>
      <c r="AA4" s="3" t="s">
        <v>57</v>
      </c>
      <c r="AB4" s="11" t="n">
        <v>46127</v>
      </c>
    </row>
    <row r="5" customFormat="false" ht="15" hidden="false" customHeight="false" outlineLevel="0" collapsed="false">
      <c r="A5" s="3" t="s">
        <v>67</v>
      </c>
      <c r="B5" s="3" t="s">
        <v>48</v>
      </c>
      <c r="C5" s="3" t="s">
        <v>68</v>
      </c>
      <c r="E5" s="3" t="s">
        <v>69</v>
      </c>
      <c r="F5" s="3" t="s">
        <v>51</v>
      </c>
      <c r="G5" s="3" t="s">
        <v>52</v>
      </c>
      <c r="H5" s="3" t="s">
        <v>53</v>
      </c>
      <c r="I5" s="3" t="s">
        <v>70</v>
      </c>
      <c r="M5" s="8" t="n">
        <v>374647</v>
      </c>
      <c r="N5" s="8" t="n">
        <v>96804</v>
      </c>
      <c r="O5" s="9" t="n">
        <v>17.7</v>
      </c>
      <c r="P5" s="9" t="n">
        <v>46</v>
      </c>
      <c r="R5" s="9" t="n">
        <v>1</v>
      </c>
      <c r="T5" s="10" t="n">
        <v>88.3</v>
      </c>
      <c r="U5" s="9" t="n">
        <v>8</v>
      </c>
      <c r="V5" s="3" t="s">
        <v>62</v>
      </c>
      <c r="W5" s="9" t="n">
        <v>1</v>
      </c>
      <c r="Z5" s="3" t="s">
        <v>56</v>
      </c>
      <c r="AA5" s="3" t="s">
        <v>57</v>
      </c>
      <c r="AB5" s="11" t="n">
        <v>46127</v>
      </c>
    </row>
    <row r="6" customFormat="false" ht="15" hidden="false" customHeight="false" outlineLevel="0" collapsed="false">
      <c r="A6" s="3" t="s">
        <v>71</v>
      </c>
      <c r="B6" s="3" t="s">
        <v>48</v>
      </c>
      <c r="C6" s="3" t="s">
        <v>72</v>
      </c>
      <c r="E6" s="3" t="s">
        <v>73</v>
      </c>
      <c r="F6" s="3" t="s">
        <v>51</v>
      </c>
      <c r="G6" s="3" t="s">
        <v>52</v>
      </c>
      <c r="H6" s="3" t="s">
        <v>53</v>
      </c>
      <c r="I6" s="3" t="s">
        <v>74</v>
      </c>
      <c r="M6" s="8" t="n">
        <v>226731</v>
      </c>
      <c r="N6" s="8" t="n">
        <v>178670</v>
      </c>
      <c r="O6" s="9" t="n">
        <v>6.9</v>
      </c>
      <c r="P6" s="9" t="n">
        <v>35</v>
      </c>
      <c r="R6" s="9" t="n">
        <v>1</v>
      </c>
      <c r="T6" s="10" t="n">
        <v>23.7</v>
      </c>
      <c r="U6" s="9" t="n">
        <v>1</v>
      </c>
      <c r="V6" s="3" t="s">
        <v>62</v>
      </c>
      <c r="W6" s="9" t="n">
        <v>1</v>
      </c>
      <c r="Z6" s="3" t="s">
        <v>56</v>
      </c>
      <c r="AA6" s="3" t="s">
        <v>57</v>
      </c>
      <c r="AB6" s="11" t="n">
        <v>46127</v>
      </c>
    </row>
    <row r="7" customFormat="false" ht="15" hidden="false" customHeight="false" outlineLevel="0" collapsed="false">
      <c r="A7" s="3" t="s">
        <v>75</v>
      </c>
      <c r="B7" s="3" t="s">
        <v>48</v>
      </c>
      <c r="C7" s="3" t="s">
        <v>76</v>
      </c>
      <c r="E7" s="3" t="s">
        <v>77</v>
      </c>
      <c r="F7" s="3" t="s">
        <v>51</v>
      </c>
      <c r="G7" s="3" t="s">
        <v>52</v>
      </c>
      <c r="H7" s="3" t="s">
        <v>53</v>
      </c>
      <c r="I7" s="3" t="s">
        <v>78</v>
      </c>
      <c r="M7" s="8" t="n">
        <v>321416</v>
      </c>
      <c r="N7" s="8" t="n">
        <v>165153</v>
      </c>
      <c r="O7" s="9" t="n">
        <v>8.4</v>
      </c>
      <c r="P7" s="9" t="n">
        <v>72</v>
      </c>
      <c r="R7" s="9" t="n">
        <v>3</v>
      </c>
      <c r="T7" s="10" t="n">
        <v>52.1</v>
      </c>
      <c r="U7" s="9" t="n">
        <v>8</v>
      </c>
      <c r="V7" s="3" t="s">
        <v>62</v>
      </c>
      <c r="W7" s="9" t="n">
        <v>1</v>
      </c>
      <c r="Z7" s="3" t="s">
        <v>56</v>
      </c>
      <c r="AA7" s="3" t="s">
        <v>57</v>
      </c>
      <c r="AB7" s="11" t="n">
        <v>46127</v>
      </c>
    </row>
    <row r="8" customFormat="false" ht="15" hidden="false" customHeight="false" outlineLevel="0" collapsed="false">
      <c r="A8" s="3" t="s">
        <v>79</v>
      </c>
      <c r="B8" s="3" t="s">
        <v>48</v>
      </c>
      <c r="C8" s="3" t="s">
        <v>80</v>
      </c>
      <c r="E8" s="3" t="s">
        <v>81</v>
      </c>
      <c r="F8" s="3" t="s">
        <v>51</v>
      </c>
      <c r="G8" s="3" t="s">
        <v>52</v>
      </c>
      <c r="H8" s="3" t="s">
        <v>53</v>
      </c>
      <c r="I8" s="3" t="s">
        <v>82</v>
      </c>
      <c r="M8" s="8" t="n">
        <v>514068</v>
      </c>
      <c r="N8" s="8" t="n">
        <v>199852</v>
      </c>
      <c r="O8" s="9" t="n">
        <v>21.7</v>
      </c>
      <c r="P8" s="9" t="n">
        <v>57</v>
      </c>
      <c r="R8" s="9" t="n">
        <v>3</v>
      </c>
      <c r="T8" s="10" t="n">
        <v>66</v>
      </c>
      <c r="U8" s="9" t="n">
        <v>9</v>
      </c>
      <c r="V8" s="3" t="s">
        <v>83</v>
      </c>
      <c r="W8" s="9" t="n">
        <v>1</v>
      </c>
      <c r="Z8" s="3" t="s">
        <v>56</v>
      </c>
      <c r="AA8" s="3" t="s">
        <v>57</v>
      </c>
      <c r="AB8" s="11" t="n">
        <v>46127</v>
      </c>
    </row>
    <row r="9" customFormat="false" ht="15" hidden="false" customHeight="false" outlineLevel="0" collapsed="false">
      <c r="A9" s="3" t="s">
        <v>84</v>
      </c>
      <c r="B9" s="3" t="s">
        <v>48</v>
      </c>
      <c r="C9" s="3" t="s">
        <v>85</v>
      </c>
      <c r="E9" s="3" t="s">
        <v>86</v>
      </c>
      <c r="F9" s="3" t="s">
        <v>51</v>
      </c>
      <c r="G9" s="3" t="s">
        <v>52</v>
      </c>
      <c r="H9" s="3" t="s">
        <v>53</v>
      </c>
      <c r="I9" s="3" t="s">
        <v>87</v>
      </c>
      <c r="M9" s="8" t="n">
        <v>96063</v>
      </c>
      <c r="N9" s="8" t="n">
        <v>378696</v>
      </c>
      <c r="O9" s="9" t="n">
        <v>15.6</v>
      </c>
      <c r="P9" s="9" t="n">
        <v>67</v>
      </c>
      <c r="R9" s="9" t="n">
        <v>1</v>
      </c>
      <c r="T9" s="10" t="n">
        <v>71.5</v>
      </c>
      <c r="U9" s="9" t="n">
        <v>10</v>
      </c>
      <c r="V9" s="3" t="s">
        <v>55</v>
      </c>
      <c r="W9" s="9" t="n">
        <v>1</v>
      </c>
      <c r="Z9" s="3" t="s">
        <v>56</v>
      </c>
      <c r="AA9" s="3" t="s">
        <v>57</v>
      </c>
      <c r="AB9" s="11" t="n">
        <v>46127</v>
      </c>
    </row>
    <row r="10" customFormat="false" ht="15" hidden="false" customHeight="false" outlineLevel="0" collapsed="false">
      <c r="A10" s="3" t="s">
        <v>88</v>
      </c>
      <c r="B10" s="3" t="s">
        <v>48</v>
      </c>
      <c r="C10" s="3" t="s">
        <v>89</v>
      </c>
      <c r="E10" s="3" t="s">
        <v>90</v>
      </c>
      <c r="F10" s="3" t="s">
        <v>51</v>
      </c>
      <c r="G10" s="3" t="s">
        <v>52</v>
      </c>
      <c r="H10" s="3" t="s">
        <v>53</v>
      </c>
      <c r="I10" s="3" t="s">
        <v>91</v>
      </c>
      <c r="M10" s="8" t="n">
        <v>570966</v>
      </c>
      <c r="N10" s="8" t="n">
        <v>549589</v>
      </c>
      <c r="O10" s="9" t="n">
        <v>3.5</v>
      </c>
      <c r="P10" s="9" t="n">
        <v>62</v>
      </c>
      <c r="R10" s="9" t="n">
        <v>1</v>
      </c>
      <c r="T10" s="10" t="n">
        <v>33.3</v>
      </c>
      <c r="U10" s="9" t="n">
        <v>8</v>
      </c>
      <c r="V10" s="3" t="s">
        <v>92</v>
      </c>
      <c r="W10" s="9" t="n">
        <v>1</v>
      </c>
      <c r="Z10" s="3" t="s">
        <v>56</v>
      </c>
      <c r="AA10" s="3" t="s">
        <v>57</v>
      </c>
      <c r="AB10" s="11" t="n">
        <v>46127</v>
      </c>
    </row>
    <row r="11" customFormat="false" ht="15" hidden="false" customHeight="false" outlineLevel="0" collapsed="false">
      <c r="A11" s="3" t="s">
        <v>93</v>
      </c>
      <c r="B11" s="3" t="s">
        <v>48</v>
      </c>
      <c r="C11" s="3" t="s">
        <v>94</v>
      </c>
      <c r="E11" s="3" t="s">
        <v>95</v>
      </c>
      <c r="F11" s="3" t="s">
        <v>51</v>
      </c>
      <c r="G11" s="3" t="s">
        <v>52</v>
      </c>
      <c r="H11" s="3" t="s">
        <v>53</v>
      </c>
      <c r="I11" s="3" t="s">
        <v>96</v>
      </c>
      <c r="M11" s="8" t="n">
        <v>474674</v>
      </c>
      <c r="N11" s="8" t="n">
        <v>284027</v>
      </c>
      <c r="O11" s="9" t="n">
        <v>21.8</v>
      </c>
      <c r="P11" s="9" t="n">
        <v>41</v>
      </c>
      <c r="R11" s="9" t="n">
        <v>1</v>
      </c>
      <c r="T11" s="10" t="n">
        <v>93</v>
      </c>
      <c r="U11" s="9" t="n">
        <v>1</v>
      </c>
      <c r="V11" s="3" t="s">
        <v>55</v>
      </c>
      <c r="W11" s="9" t="n">
        <v>1</v>
      </c>
      <c r="Z11" s="3" t="s">
        <v>56</v>
      </c>
      <c r="AA11" s="3" t="s">
        <v>57</v>
      </c>
      <c r="AB11" s="11" t="n">
        <v>46127</v>
      </c>
    </row>
    <row r="12" customFormat="false" ht="15" hidden="false" customHeight="false" outlineLevel="0" collapsed="false">
      <c r="A12" s="3" t="s">
        <v>97</v>
      </c>
      <c r="B12" s="3" t="s">
        <v>48</v>
      </c>
      <c r="C12" s="3" t="s">
        <v>98</v>
      </c>
      <c r="E12" s="3" t="s">
        <v>99</v>
      </c>
      <c r="F12" s="3" t="s">
        <v>51</v>
      </c>
      <c r="G12" s="3" t="s">
        <v>52</v>
      </c>
      <c r="H12" s="3" t="s">
        <v>53</v>
      </c>
      <c r="I12" s="3" t="s">
        <v>100</v>
      </c>
      <c r="M12" s="8" t="n">
        <v>323424</v>
      </c>
      <c r="N12" s="8" t="n">
        <v>344345</v>
      </c>
      <c r="O12" s="9" t="n">
        <v>28</v>
      </c>
      <c r="P12" s="9" t="n">
        <v>38</v>
      </c>
      <c r="R12" s="9" t="n">
        <v>1</v>
      </c>
      <c r="T12" s="10" t="n">
        <v>41.2</v>
      </c>
      <c r="U12" s="9" t="n">
        <v>5</v>
      </c>
      <c r="V12" s="3" t="s">
        <v>55</v>
      </c>
      <c r="W12" s="9" t="n">
        <v>1</v>
      </c>
      <c r="Z12" s="3" t="s">
        <v>56</v>
      </c>
      <c r="AA12" s="3" t="s">
        <v>57</v>
      </c>
      <c r="AB12" s="11" t="n">
        <v>46127</v>
      </c>
    </row>
    <row r="13" customFormat="false" ht="15" hidden="false" customHeight="false" outlineLevel="0" collapsed="false">
      <c r="A13" s="3" t="s">
        <v>101</v>
      </c>
      <c r="B13" s="3" t="s">
        <v>48</v>
      </c>
      <c r="C13" s="3" t="s">
        <v>102</v>
      </c>
      <c r="E13" s="3" t="s">
        <v>103</v>
      </c>
      <c r="F13" s="3" t="s">
        <v>51</v>
      </c>
      <c r="G13" s="3" t="s">
        <v>52</v>
      </c>
      <c r="H13" s="3" t="s">
        <v>53</v>
      </c>
      <c r="I13" s="3" t="s">
        <v>104</v>
      </c>
      <c r="M13" s="8" t="n">
        <v>165175</v>
      </c>
      <c r="N13" s="8" t="n">
        <v>193317</v>
      </c>
      <c r="O13" s="9" t="n">
        <v>27.1</v>
      </c>
      <c r="P13" s="9" t="n">
        <v>65</v>
      </c>
      <c r="R13" s="9" t="n">
        <v>2</v>
      </c>
      <c r="T13" s="10" t="n">
        <v>19.5</v>
      </c>
      <c r="U13" s="9" t="n">
        <v>7</v>
      </c>
      <c r="V13" s="3" t="s">
        <v>92</v>
      </c>
      <c r="W13" s="9" t="n">
        <v>1</v>
      </c>
      <c r="Z13" s="3" t="s">
        <v>56</v>
      </c>
      <c r="AA13" s="3" t="s">
        <v>57</v>
      </c>
      <c r="AB13" s="11" t="n">
        <v>46127</v>
      </c>
    </row>
    <row r="14" customFormat="false" ht="15" hidden="false" customHeight="false" outlineLevel="0" collapsed="false">
      <c r="A14" s="3" t="s">
        <v>105</v>
      </c>
      <c r="B14" s="3" t="s">
        <v>48</v>
      </c>
      <c r="C14" s="3" t="s">
        <v>106</v>
      </c>
      <c r="E14" s="3" t="s">
        <v>107</v>
      </c>
      <c r="F14" s="3" t="s">
        <v>51</v>
      </c>
      <c r="G14" s="3" t="s">
        <v>52</v>
      </c>
      <c r="H14" s="3" t="s">
        <v>53</v>
      </c>
      <c r="I14" s="3" t="s">
        <v>108</v>
      </c>
      <c r="M14" s="8" t="n">
        <v>554470</v>
      </c>
      <c r="N14" s="8" t="n">
        <v>746059</v>
      </c>
      <c r="O14" s="9" t="n">
        <v>3</v>
      </c>
      <c r="P14" s="9" t="n">
        <v>39</v>
      </c>
      <c r="R14" s="9" t="n">
        <v>2</v>
      </c>
      <c r="T14" s="10" t="n">
        <v>77.6</v>
      </c>
      <c r="U14" s="9" t="n">
        <v>3</v>
      </c>
      <c r="V14" s="3" t="s">
        <v>92</v>
      </c>
      <c r="W14" s="9" t="n">
        <v>1</v>
      </c>
      <c r="Z14" s="3" t="s">
        <v>56</v>
      </c>
      <c r="AA14" s="3" t="s">
        <v>57</v>
      </c>
      <c r="AB14" s="11" t="n">
        <v>46127</v>
      </c>
    </row>
    <row r="15" customFormat="false" ht="15" hidden="false" customHeight="false" outlineLevel="0" collapsed="false">
      <c r="A15" s="3" t="s">
        <v>109</v>
      </c>
      <c r="B15" s="3" t="s">
        <v>48</v>
      </c>
      <c r="C15" s="3" t="s">
        <v>110</v>
      </c>
      <c r="E15" s="3" t="s">
        <v>111</v>
      </c>
      <c r="F15" s="3" t="s">
        <v>51</v>
      </c>
      <c r="G15" s="3" t="s">
        <v>52</v>
      </c>
      <c r="H15" s="3" t="s">
        <v>53</v>
      </c>
      <c r="I15" s="3" t="s">
        <v>112</v>
      </c>
      <c r="M15" s="8" t="n">
        <v>902278</v>
      </c>
      <c r="N15" s="8" t="n">
        <v>254737</v>
      </c>
      <c r="O15" s="9" t="n">
        <v>23.8</v>
      </c>
      <c r="P15" s="9" t="n">
        <v>48</v>
      </c>
      <c r="R15" s="9" t="n">
        <v>1</v>
      </c>
      <c r="T15" s="10" t="n">
        <v>38.6</v>
      </c>
      <c r="U15" s="9" t="n">
        <v>1</v>
      </c>
      <c r="V15" s="3" t="s">
        <v>83</v>
      </c>
      <c r="W15" s="9" t="n">
        <v>1</v>
      </c>
      <c r="Z15" s="3" t="s">
        <v>56</v>
      </c>
      <c r="AA15" s="3" t="s">
        <v>57</v>
      </c>
      <c r="AB15" s="11" t="n">
        <v>46127</v>
      </c>
    </row>
    <row r="16" customFormat="false" ht="15" hidden="false" customHeight="false" outlineLevel="0" collapsed="false">
      <c r="A16" s="3" t="s">
        <v>113</v>
      </c>
      <c r="B16" s="3" t="s">
        <v>48</v>
      </c>
      <c r="C16" s="3" t="s">
        <v>114</v>
      </c>
      <c r="E16" s="3" t="s">
        <v>115</v>
      </c>
      <c r="F16" s="3" t="s">
        <v>51</v>
      </c>
      <c r="G16" s="3" t="s">
        <v>52</v>
      </c>
      <c r="H16" s="3" t="s">
        <v>53</v>
      </c>
      <c r="I16" s="3" t="s">
        <v>116</v>
      </c>
      <c r="M16" s="8" t="n">
        <v>268608</v>
      </c>
      <c r="N16" s="8" t="n">
        <v>485369</v>
      </c>
      <c r="O16" s="9" t="n">
        <v>7.2</v>
      </c>
      <c r="P16" s="9" t="n">
        <v>44</v>
      </c>
      <c r="R16" s="9" t="n">
        <v>1</v>
      </c>
      <c r="T16" s="10" t="n">
        <v>63</v>
      </c>
      <c r="U16" s="9" t="n">
        <v>3</v>
      </c>
      <c r="V16" s="3" t="s">
        <v>55</v>
      </c>
      <c r="W16" s="9" t="n">
        <v>1</v>
      </c>
      <c r="Z16" s="3" t="s">
        <v>56</v>
      </c>
      <c r="AA16" s="3" t="s">
        <v>57</v>
      </c>
      <c r="AB16" s="11" t="n">
        <v>46127</v>
      </c>
    </row>
    <row r="17" customFormat="false" ht="15" hidden="false" customHeight="false" outlineLevel="0" collapsed="false">
      <c r="A17" s="3" t="s">
        <v>117</v>
      </c>
      <c r="B17" s="3" t="s">
        <v>48</v>
      </c>
      <c r="C17" s="3" t="s">
        <v>118</v>
      </c>
      <c r="E17" s="3" t="s">
        <v>119</v>
      </c>
      <c r="F17" s="3" t="s">
        <v>51</v>
      </c>
      <c r="G17" s="3" t="s">
        <v>52</v>
      </c>
      <c r="H17" s="3" t="s">
        <v>53</v>
      </c>
      <c r="I17" s="3" t="s">
        <v>120</v>
      </c>
      <c r="M17" s="8" t="n">
        <v>287496</v>
      </c>
      <c r="N17" s="8" t="n">
        <v>335903</v>
      </c>
      <c r="O17" s="9" t="n">
        <v>29.5</v>
      </c>
      <c r="P17" s="9" t="n">
        <v>60</v>
      </c>
      <c r="R17" s="9" t="n">
        <v>1</v>
      </c>
      <c r="T17" s="10" t="n">
        <v>75.7</v>
      </c>
      <c r="U17" s="9" t="n">
        <v>4</v>
      </c>
      <c r="V17" s="3" t="s">
        <v>83</v>
      </c>
      <c r="W17" s="9" t="n">
        <v>1</v>
      </c>
      <c r="Z17" s="3" t="s">
        <v>56</v>
      </c>
      <c r="AA17" s="3" t="s">
        <v>57</v>
      </c>
      <c r="AB17" s="11" t="n">
        <v>46127</v>
      </c>
    </row>
    <row r="18" customFormat="false" ht="15" hidden="false" customHeight="false" outlineLevel="0" collapsed="false">
      <c r="A18" s="3" t="s">
        <v>121</v>
      </c>
      <c r="B18" s="3" t="s">
        <v>48</v>
      </c>
      <c r="C18" s="3" t="s">
        <v>122</v>
      </c>
      <c r="E18" s="3" t="s">
        <v>123</v>
      </c>
      <c r="F18" s="3" t="s">
        <v>51</v>
      </c>
      <c r="G18" s="3" t="s">
        <v>52</v>
      </c>
      <c r="H18" s="3" t="s">
        <v>53</v>
      </c>
      <c r="I18" s="3" t="s">
        <v>124</v>
      </c>
      <c r="M18" s="8" t="n">
        <v>639705</v>
      </c>
      <c r="N18" s="8" t="n">
        <v>851581</v>
      </c>
      <c r="O18" s="9" t="n">
        <v>16.5</v>
      </c>
      <c r="P18" s="9" t="n">
        <v>66</v>
      </c>
      <c r="R18" s="9" t="n">
        <v>1</v>
      </c>
      <c r="T18" s="10" t="n">
        <v>32.1</v>
      </c>
      <c r="U18" s="9" t="n">
        <v>8</v>
      </c>
      <c r="V18" s="3" t="s">
        <v>83</v>
      </c>
      <c r="W18" s="9" t="n">
        <v>1</v>
      </c>
      <c r="Z18" s="3" t="s">
        <v>56</v>
      </c>
      <c r="AA18" s="3" t="s">
        <v>57</v>
      </c>
      <c r="AB18" s="11" t="n">
        <v>46127</v>
      </c>
    </row>
    <row r="19" customFormat="false" ht="15" hidden="false" customHeight="false" outlineLevel="0" collapsed="false">
      <c r="A19" s="3" t="s">
        <v>125</v>
      </c>
      <c r="B19" s="3" t="s">
        <v>48</v>
      </c>
      <c r="C19" s="3" t="s">
        <v>126</v>
      </c>
      <c r="E19" s="3" t="s">
        <v>127</v>
      </c>
      <c r="F19" s="3" t="s">
        <v>51</v>
      </c>
      <c r="G19" s="3" t="s">
        <v>52</v>
      </c>
      <c r="H19" s="3" t="s">
        <v>53</v>
      </c>
      <c r="I19" s="3" t="s">
        <v>128</v>
      </c>
      <c r="M19" s="8" t="n">
        <v>106983</v>
      </c>
      <c r="N19" s="8" t="n">
        <v>380595</v>
      </c>
      <c r="O19" s="9" t="n">
        <v>20.9</v>
      </c>
      <c r="P19" s="9" t="n">
        <v>45</v>
      </c>
      <c r="R19" s="9" t="n">
        <v>1</v>
      </c>
      <c r="T19" s="10" t="n">
        <v>48</v>
      </c>
      <c r="U19" s="9" t="n">
        <v>2</v>
      </c>
      <c r="V19" s="3" t="s">
        <v>92</v>
      </c>
      <c r="W19" s="9" t="n">
        <v>1</v>
      </c>
      <c r="Z19" s="3" t="s">
        <v>56</v>
      </c>
      <c r="AA19" s="3" t="s">
        <v>57</v>
      </c>
      <c r="AB19" s="11" t="n">
        <v>46127</v>
      </c>
    </row>
    <row r="20" customFormat="false" ht="15" hidden="false" customHeight="false" outlineLevel="0" collapsed="false">
      <c r="A20" s="3" t="s">
        <v>129</v>
      </c>
      <c r="B20" s="3" t="s">
        <v>48</v>
      </c>
      <c r="C20" s="3" t="s">
        <v>130</v>
      </c>
      <c r="E20" s="3" t="s">
        <v>131</v>
      </c>
      <c r="F20" s="3" t="s">
        <v>51</v>
      </c>
      <c r="G20" s="3" t="s">
        <v>52</v>
      </c>
      <c r="H20" s="3" t="s">
        <v>53</v>
      </c>
      <c r="I20" s="3" t="s">
        <v>132</v>
      </c>
      <c r="M20" s="8" t="n">
        <v>316009</v>
      </c>
      <c r="N20" s="8" t="n">
        <v>596298</v>
      </c>
      <c r="O20" s="9" t="n">
        <v>6.6</v>
      </c>
      <c r="P20" s="9" t="n">
        <v>35</v>
      </c>
      <c r="R20" s="9" t="n">
        <v>1</v>
      </c>
      <c r="T20" s="10" t="n">
        <v>78.7</v>
      </c>
      <c r="U20" s="9" t="n">
        <v>4</v>
      </c>
      <c r="V20" s="3" t="s">
        <v>55</v>
      </c>
      <c r="W20" s="9" t="n">
        <v>1</v>
      </c>
      <c r="Z20" s="3" t="s">
        <v>56</v>
      </c>
      <c r="AA20" s="3" t="s">
        <v>57</v>
      </c>
      <c r="AB20" s="11" t="n">
        <v>46127</v>
      </c>
    </row>
    <row r="21" customFormat="false" ht="15" hidden="false" customHeight="false" outlineLevel="0" collapsed="false">
      <c r="A21" s="3" t="s">
        <v>133</v>
      </c>
      <c r="B21" s="3" t="s">
        <v>48</v>
      </c>
      <c r="C21" s="3" t="s">
        <v>134</v>
      </c>
      <c r="E21" s="3" t="s">
        <v>135</v>
      </c>
      <c r="F21" s="3" t="s">
        <v>51</v>
      </c>
      <c r="G21" s="3" t="s">
        <v>52</v>
      </c>
      <c r="H21" s="3" t="s">
        <v>53</v>
      </c>
      <c r="I21" s="3" t="s">
        <v>136</v>
      </c>
      <c r="M21" s="8" t="n">
        <v>637342</v>
      </c>
      <c r="N21" s="8" t="n">
        <v>342391</v>
      </c>
      <c r="O21" s="9" t="n">
        <v>7.1</v>
      </c>
      <c r="P21" s="9" t="n">
        <v>57</v>
      </c>
      <c r="R21" s="9" t="n">
        <v>1</v>
      </c>
      <c r="T21" s="10" t="n">
        <v>91.4</v>
      </c>
      <c r="U21" s="9" t="n">
        <v>3</v>
      </c>
      <c r="V21" s="3" t="s">
        <v>55</v>
      </c>
      <c r="W21" s="9" t="n">
        <v>1</v>
      </c>
      <c r="Z21" s="3" t="s">
        <v>56</v>
      </c>
      <c r="AA21" s="3" t="s">
        <v>57</v>
      </c>
      <c r="AB21" s="11" t="n">
        <v>46127</v>
      </c>
    </row>
    <row r="22" customFormat="false" ht="15" hidden="false" customHeight="false" outlineLevel="0" collapsed="false">
      <c r="A22" s="3" t="s">
        <v>137</v>
      </c>
      <c r="B22" s="3" t="s">
        <v>48</v>
      </c>
      <c r="C22" s="3" t="s">
        <v>138</v>
      </c>
      <c r="E22" s="3" t="s">
        <v>139</v>
      </c>
      <c r="F22" s="3" t="s">
        <v>51</v>
      </c>
      <c r="G22" s="3" t="s">
        <v>52</v>
      </c>
      <c r="H22" s="3" t="s">
        <v>53</v>
      </c>
      <c r="I22" s="3" t="s">
        <v>140</v>
      </c>
      <c r="M22" s="8" t="n">
        <v>579156</v>
      </c>
      <c r="N22" s="8" t="n">
        <v>216192</v>
      </c>
      <c r="O22" s="9" t="n">
        <v>17.7</v>
      </c>
      <c r="P22" s="9" t="n">
        <v>52</v>
      </c>
      <c r="R22" s="9" t="n">
        <v>1</v>
      </c>
      <c r="T22" s="10" t="n">
        <v>22.8</v>
      </c>
      <c r="U22" s="9" t="n">
        <v>6</v>
      </c>
      <c r="V22" s="3" t="s">
        <v>83</v>
      </c>
      <c r="W22" s="9" t="n">
        <v>1</v>
      </c>
      <c r="Z22" s="3" t="s">
        <v>56</v>
      </c>
      <c r="AA22" s="3" t="s">
        <v>57</v>
      </c>
      <c r="AB22" s="11" t="n">
        <v>46127</v>
      </c>
    </row>
    <row r="23" customFormat="false" ht="15" hidden="false" customHeight="false" outlineLevel="0" collapsed="false">
      <c r="A23" s="3" t="s">
        <v>141</v>
      </c>
      <c r="B23" s="3" t="s">
        <v>48</v>
      </c>
      <c r="C23" s="3" t="s">
        <v>142</v>
      </c>
      <c r="E23" s="3" t="s">
        <v>143</v>
      </c>
      <c r="F23" s="3" t="s">
        <v>51</v>
      </c>
      <c r="G23" s="3" t="s">
        <v>52</v>
      </c>
      <c r="H23" s="3" t="s">
        <v>53</v>
      </c>
      <c r="I23" s="3" t="s">
        <v>144</v>
      </c>
      <c r="M23" s="8" t="n">
        <v>101184</v>
      </c>
      <c r="N23" s="8" t="n">
        <v>256745</v>
      </c>
      <c r="O23" s="9" t="n">
        <v>22.1</v>
      </c>
      <c r="P23" s="9" t="n">
        <v>44</v>
      </c>
      <c r="R23" s="9" t="n">
        <v>1</v>
      </c>
      <c r="T23" s="10" t="n">
        <v>48.6</v>
      </c>
      <c r="U23" s="9" t="n">
        <v>5</v>
      </c>
      <c r="V23" s="3" t="s">
        <v>92</v>
      </c>
      <c r="W23" s="9" t="n">
        <v>1</v>
      </c>
      <c r="Z23" s="3" t="s">
        <v>56</v>
      </c>
      <c r="AA23" s="3" t="s">
        <v>57</v>
      </c>
      <c r="AB23" s="11" t="n">
        <v>46127</v>
      </c>
    </row>
    <row r="24" customFormat="false" ht="15" hidden="false" customHeight="false" outlineLevel="0" collapsed="false">
      <c r="A24" s="3" t="s">
        <v>145</v>
      </c>
      <c r="B24" s="3" t="s">
        <v>48</v>
      </c>
      <c r="C24" s="3" t="s">
        <v>146</v>
      </c>
      <c r="E24" s="3" t="s">
        <v>147</v>
      </c>
      <c r="F24" s="3" t="s">
        <v>51</v>
      </c>
      <c r="G24" s="3" t="s">
        <v>52</v>
      </c>
      <c r="H24" s="3" t="s">
        <v>53</v>
      </c>
      <c r="I24" s="3" t="s">
        <v>148</v>
      </c>
      <c r="M24" s="8" t="n">
        <v>1142949</v>
      </c>
      <c r="N24" s="8" t="n">
        <v>104086</v>
      </c>
      <c r="O24" s="9" t="n">
        <v>28.6</v>
      </c>
      <c r="P24" s="9" t="n">
        <v>72</v>
      </c>
      <c r="R24" s="9" t="n">
        <v>1</v>
      </c>
      <c r="T24" s="10" t="n">
        <v>58.8</v>
      </c>
      <c r="U24" s="9" t="n">
        <v>4</v>
      </c>
      <c r="V24" s="3" t="s">
        <v>83</v>
      </c>
      <c r="W24" s="9" t="n">
        <v>1</v>
      </c>
      <c r="Z24" s="3" t="s">
        <v>56</v>
      </c>
      <c r="AA24" s="3" t="s">
        <v>57</v>
      </c>
      <c r="AB24" s="11" t="n">
        <v>46127</v>
      </c>
    </row>
    <row r="25" customFormat="false" ht="15" hidden="false" customHeight="false" outlineLevel="0" collapsed="false">
      <c r="A25" s="3" t="s">
        <v>149</v>
      </c>
      <c r="B25" s="3" t="s">
        <v>48</v>
      </c>
      <c r="C25" s="3" t="s">
        <v>150</v>
      </c>
      <c r="E25" s="3" t="s">
        <v>151</v>
      </c>
      <c r="F25" s="3" t="s">
        <v>51</v>
      </c>
      <c r="G25" s="3" t="s">
        <v>52</v>
      </c>
      <c r="H25" s="3" t="s">
        <v>53</v>
      </c>
      <c r="I25" s="3" t="s">
        <v>152</v>
      </c>
      <c r="M25" s="8" t="n">
        <v>1025295</v>
      </c>
      <c r="N25" s="8" t="n">
        <v>939480</v>
      </c>
      <c r="O25" s="9" t="n">
        <v>21.9</v>
      </c>
      <c r="P25" s="9" t="n">
        <v>52</v>
      </c>
      <c r="R25" s="9" t="n">
        <v>1</v>
      </c>
      <c r="T25" s="10" t="n">
        <v>69</v>
      </c>
      <c r="U25" s="9" t="n">
        <v>6</v>
      </c>
      <c r="V25" s="3" t="s">
        <v>83</v>
      </c>
      <c r="W25" s="9" t="n">
        <v>1</v>
      </c>
      <c r="Z25" s="3" t="s">
        <v>56</v>
      </c>
      <c r="AA25" s="3" t="s">
        <v>57</v>
      </c>
      <c r="AB25" s="11" t="n">
        <v>46127</v>
      </c>
    </row>
    <row r="26" customFormat="false" ht="15" hidden="false" customHeight="false" outlineLevel="0" collapsed="false">
      <c r="A26" s="3" t="s">
        <v>153</v>
      </c>
      <c r="B26" s="3" t="s">
        <v>48</v>
      </c>
      <c r="C26" s="3" t="s">
        <v>154</v>
      </c>
      <c r="E26" s="3" t="s">
        <v>155</v>
      </c>
      <c r="F26" s="3" t="s">
        <v>51</v>
      </c>
      <c r="G26" s="3" t="s">
        <v>52</v>
      </c>
      <c r="H26" s="3" t="s">
        <v>53</v>
      </c>
      <c r="I26" s="3" t="s">
        <v>156</v>
      </c>
      <c r="M26" s="8" t="n">
        <v>360352</v>
      </c>
      <c r="N26" s="8" t="n">
        <v>221687</v>
      </c>
      <c r="O26" s="9" t="n">
        <v>15.8</v>
      </c>
      <c r="P26" s="9" t="n">
        <v>38</v>
      </c>
      <c r="R26" s="9" t="n">
        <v>1</v>
      </c>
      <c r="T26" s="10" t="n">
        <v>55.4</v>
      </c>
      <c r="U26" s="9" t="n">
        <v>5</v>
      </c>
      <c r="V26" s="3" t="s">
        <v>92</v>
      </c>
      <c r="W26" s="9" t="n">
        <v>1</v>
      </c>
      <c r="Z26" s="3" t="s">
        <v>56</v>
      </c>
      <c r="AA26" s="3" t="s">
        <v>57</v>
      </c>
      <c r="AB26" s="11" t="n">
        <v>46127</v>
      </c>
    </row>
    <row r="27" customFormat="false" ht="15" hidden="false" customHeight="false" outlineLevel="0" collapsed="false">
      <c r="A27" s="3" t="s">
        <v>157</v>
      </c>
      <c r="B27" s="3" t="s">
        <v>48</v>
      </c>
      <c r="C27" s="3" t="s">
        <v>158</v>
      </c>
      <c r="E27" s="3" t="s">
        <v>159</v>
      </c>
      <c r="F27" s="3" t="s">
        <v>51</v>
      </c>
      <c r="G27" s="3" t="s">
        <v>52</v>
      </c>
      <c r="H27" s="3" t="s">
        <v>53</v>
      </c>
      <c r="I27" s="3" t="s">
        <v>160</v>
      </c>
      <c r="M27" s="8" t="n">
        <v>169603</v>
      </c>
      <c r="N27" s="8" t="n">
        <v>127877</v>
      </c>
      <c r="O27" s="9" t="n">
        <v>23.9</v>
      </c>
      <c r="P27" s="9" t="n">
        <v>76</v>
      </c>
      <c r="R27" s="9" t="n">
        <v>1</v>
      </c>
      <c r="T27" s="10" t="n">
        <v>53.5</v>
      </c>
      <c r="U27" s="9" t="n">
        <v>1</v>
      </c>
      <c r="V27" s="3" t="s">
        <v>83</v>
      </c>
      <c r="W27" s="9" t="n">
        <v>1</v>
      </c>
      <c r="Z27" s="3" t="s">
        <v>56</v>
      </c>
      <c r="AA27" s="3" t="s">
        <v>57</v>
      </c>
      <c r="AB27" s="11" t="n">
        <v>46127</v>
      </c>
    </row>
    <row r="28" customFormat="false" ht="15" hidden="false" customHeight="false" outlineLevel="0" collapsed="false">
      <c r="A28" s="3" t="s">
        <v>161</v>
      </c>
      <c r="B28" s="3" t="s">
        <v>48</v>
      </c>
      <c r="C28" s="3" t="s">
        <v>162</v>
      </c>
      <c r="E28" s="3" t="s">
        <v>163</v>
      </c>
      <c r="F28" s="3" t="s">
        <v>51</v>
      </c>
      <c r="G28" s="3" t="s">
        <v>52</v>
      </c>
      <c r="H28" s="3" t="s">
        <v>53</v>
      </c>
      <c r="I28" s="3" t="s">
        <v>164</v>
      </c>
      <c r="M28" s="8" t="n">
        <v>283601</v>
      </c>
      <c r="N28" s="8" t="n">
        <v>560803</v>
      </c>
      <c r="O28" s="9" t="n">
        <v>24.8</v>
      </c>
      <c r="P28" s="9" t="n">
        <v>75</v>
      </c>
      <c r="R28" s="9" t="n">
        <v>3</v>
      </c>
      <c r="T28" s="10" t="n">
        <v>54.7</v>
      </c>
      <c r="U28" s="9" t="n">
        <v>4</v>
      </c>
      <c r="V28" s="3" t="s">
        <v>92</v>
      </c>
      <c r="W28" s="9" t="n">
        <v>1</v>
      </c>
      <c r="Z28" s="3" t="s">
        <v>56</v>
      </c>
      <c r="AA28" s="3" t="s">
        <v>57</v>
      </c>
      <c r="AB28" s="11" t="n">
        <v>46127</v>
      </c>
    </row>
    <row r="29" customFormat="false" ht="15" hidden="false" customHeight="false" outlineLevel="0" collapsed="false">
      <c r="A29" s="3" t="s">
        <v>165</v>
      </c>
      <c r="B29" s="3" t="s">
        <v>48</v>
      </c>
      <c r="C29" s="3" t="s">
        <v>166</v>
      </c>
      <c r="E29" s="3" t="s">
        <v>167</v>
      </c>
      <c r="F29" s="3" t="s">
        <v>51</v>
      </c>
      <c r="G29" s="3" t="s">
        <v>52</v>
      </c>
      <c r="H29" s="3" t="s">
        <v>53</v>
      </c>
      <c r="I29" s="3" t="s">
        <v>168</v>
      </c>
      <c r="M29" s="8" t="n">
        <v>321773</v>
      </c>
      <c r="N29" s="8" t="n">
        <v>184178</v>
      </c>
      <c r="O29" s="9" t="n">
        <v>24</v>
      </c>
      <c r="P29" s="9" t="n">
        <v>59</v>
      </c>
      <c r="R29" s="9" t="n">
        <v>1</v>
      </c>
      <c r="T29" s="10" t="n">
        <v>53.8</v>
      </c>
      <c r="U29" s="9" t="n">
        <v>4</v>
      </c>
      <c r="V29" s="3" t="s">
        <v>55</v>
      </c>
      <c r="W29" s="9" t="n">
        <v>1</v>
      </c>
      <c r="Z29" s="3" t="s">
        <v>56</v>
      </c>
      <c r="AA29" s="3" t="s">
        <v>57</v>
      </c>
      <c r="AB29" s="11" t="n">
        <v>46127</v>
      </c>
    </row>
    <row r="30" customFormat="false" ht="15" hidden="false" customHeight="false" outlineLevel="0" collapsed="false">
      <c r="A30" s="3" t="s">
        <v>169</v>
      </c>
      <c r="B30" s="3" t="s">
        <v>48</v>
      </c>
      <c r="C30" s="3" t="s">
        <v>170</v>
      </c>
      <c r="E30" s="3" t="s">
        <v>171</v>
      </c>
      <c r="F30" s="3" t="s">
        <v>51</v>
      </c>
      <c r="G30" s="3" t="s">
        <v>52</v>
      </c>
      <c r="H30" s="3" t="s">
        <v>53</v>
      </c>
      <c r="I30" s="3" t="s">
        <v>172</v>
      </c>
      <c r="M30" s="8" t="n">
        <v>346700</v>
      </c>
      <c r="N30" s="8" t="n">
        <v>263278</v>
      </c>
      <c r="O30" s="9" t="n">
        <v>6</v>
      </c>
      <c r="P30" s="9" t="n">
        <v>55</v>
      </c>
      <c r="R30" s="9" t="n">
        <v>2</v>
      </c>
      <c r="T30" s="10" t="n">
        <v>45.9</v>
      </c>
      <c r="U30" s="9" t="n">
        <v>8</v>
      </c>
      <c r="V30" s="3" t="s">
        <v>62</v>
      </c>
      <c r="W30" s="9" t="n">
        <v>1</v>
      </c>
      <c r="Z30" s="3" t="s">
        <v>56</v>
      </c>
      <c r="AA30" s="3" t="s">
        <v>57</v>
      </c>
      <c r="AB30" s="11" t="n">
        <v>46127</v>
      </c>
    </row>
    <row r="31" customFormat="false" ht="15" hidden="false" customHeight="false" outlineLevel="0" collapsed="false">
      <c r="A31" s="3" t="s">
        <v>173</v>
      </c>
      <c r="B31" s="3" t="s">
        <v>48</v>
      </c>
      <c r="C31" s="3" t="s">
        <v>174</v>
      </c>
      <c r="E31" s="3" t="s">
        <v>175</v>
      </c>
      <c r="F31" s="3" t="s">
        <v>51</v>
      </c>
      <c r="G31" s="3" t="s">
        <v>52</v>
      </c>
      <c r="H31" s="3" t="s">
        <v>53</v>
      </c>
      <c r="I31" s="3" t="s">
        <v>176</v>
      </c>
      <c r="M31" s="8" t="n">
        <v>148768</v>
      </c>
      <c r="N31" s="8" t="n">
        <v>147683</v>
      </c>
      <c r="O31" s="9" t="n">
        <v>19</v>
      </c>
      <c r="P31" s="9" t="n">
        <v>44</v>
      </c>
      <c r="R31" s="9" t="n">
        <v>1</v>
      </c>
      <c r="T31" s="10" t="n">
        <v>19.3</v>
      </c>
      <c r="U31" s="9" t="n">
        <v>4</v>
      </c>
      <c r="V31" s="3" t="s">
        <v>92</v>
      </c>
      <c r="W31" s="9" t="n">
        <v>1</v>
      </c>
      <c r="Z31" s="3" t="s">
        <v>56</v>
      </c>
      <c r="AA31" s="3" t="s">
        <v>57</v>
      </c>
      <c r="AB31" s="11" t="n">
        <v>46127</v>
      </c>
    </row>
    <row r="32" customFormat="false" ht="15" hidden="false" customHeight="false" outlineLevel="0" collapsed="false">
      <c r="A32" s="3" t="s">
        <v>177</v>
      </c>
      <c r="B32" s="3" t="s">
        <v>48</v>
      </c>
      <c r="C32" s="3" t="s">
        <v>178</v>
      </c>
      <c r="E32" s="3" t="s">
        <v>179</v>
      </c>
      <c r="F32" s="3" t="s">
        <v>51</v>
      </c>
      <c r="G32" s="3" t="s">
        <v>52</v>
      </c>
      <c r="H32" s="3" t="s">
        <v>53</v>
      </c>
      <c r="I32" s="3" t="s">
        <v>180</v>
      </c>
      <c r="M32" s="8" t="n">
        <v>299568</v>
      </c>
      <c r="N32" s="8" t="n">
        <v>116150</v>
      </c>
      <c r="O32" s="9" t="n">
        <v>1.4</v>
      </c>
      <c r="P32" s="9" t="n">
        <v>35</v>
      </c>
      <c r="R32" s="9" t="n">
        <v>1</v>
      </c>
      <c r="T32" s="10" t="n">
        <v>15.2</v>
      </c>
      <c r="U32" s="9" t="n">
        <v>9</v>
      </c>
      <c r="V32" s="3" t="s">
        <v>55</v>
      </c>
      <c r="W32" s="9" t="n">
        <v>1</v>
      </c>
      <c r="Z32" s="3" t="s">
        <v>56</v>
      </c>
      <c r="AA32" s="3" t="s">
        <v>57</v>
      </c>
      <c r="AB32" s="11" t="n">
        <v>46127</v>
      </c>
    </row>
    <row r="33" customFormat="false" ht="15" hidden="false" customHeight="false" outlineLevel="0" collapsed="false">
      <c r="A33" s="3" t="s">
        <v>181</v>
      </c>
      <c r="B33" s="3" t="s">
        <v>48</v>
      </c>
      <c r="C33" s="3" t="s">
        <v>182</v>
      </c>
      <c r="E33" s="3" t="s">
        <v>183</v>
      </c>
      <c r="F33" s="3" t="s">
        <v>51</v>
      </c>
      <c r="G33" s="3" t="s">
        <v>52</v>
      </c>
      <c r="H33" s="3" t="s">
        <v>53</v>
      </c>
      <c r="I33" s="3" t="s">
        <v>184</v>
      </c>
      <c r="M33" s="8" t="n">
        <v>253517</v>
      </c>
      <c r="N33" s="8" t="n">
        <v>410174</v>
      </c>
      <c r="O33" s="9" t="n">
        <v>4.8</v>
      </c>
      <c r="P33" s="9" t="n">
        <v>38</v>
      </c>
      <c r="R33" s="9" t="n">
        <v>1</v>
      </c>
      <c r="T33" s="10" t="n">
        <v>66.1</v>
      </c>
      <c r="U33" s="9" t="n">
        <v>6</v>
      </c>
      <c r="V33" s="3" t="s">
        <v>55</v>
      </c>
      <c r="W33" s="9" t="n">
        <v>1</v>
      </c>
      <c r="Z33" s="3" t="s">
        <v>56</v>
      </c>
      <c r="AA33" s="3" t="s">
        <v>57</v>
      </c>
      <c r="AB33" s="11" t="n">
        <v>46127</v>
      </c>
    </row>
    <row r="34" customFormat="false" ht="15" hidden="false" customHeight="false" outlineLevel="0" collapsed="false">
      <c r="A34" s="3" t="s">
        <v>185</v>
      </c>
      <c r="B34" s="3" t="s">
        <v>48</v>
      </c>
      <c r="C34" s="3" t="s">
        <v>186</v>
      </c>
      <c r="E34" s="3" t="s">
        <v>187</v>
      </c>
      <c r="F34" s="3" t="s">
        <v>51</v>
      </c>
      <c r="G34" s="3" t="s">
        <v>52</v>
      </c>
      <c r="H34" s="3" t="s">
        <v>53</v>
      </c>
      <c r="I34" s="3" t="s">
        <v>188</v>
      </c>
      <c r="M34" s="8" t="n">
        <v>511561</v>
      </c>
      <c r="N34" s="8" t="n">
        <v>142755</v>
      </c>
      <c r="O34" s="9" t="n">
        <v>26.9</v>
      </c>
      <c r="P34" s="9" t="n">
        <v>65</v>
      </c>
      <c r="R34" s="9" t="n">
        <v>1</v>
      </c>
      <c r="T34" s="10" t="n">
        <v>71.1</v>
      </c>
      <c r="U34" s="9" t="n">
        <v>2</v>
      </c>
      <c r="V34" s="3" t="s">
        <v>55</v>
      </c>
      <c r="W34" s="9" t="n">
        <v>1</v>
      </c>
      <c r="Z34" s="3" t="s">
        <v>56</v>
      </c>
      <c r="AA34" s="3" t="s">
        <v>57</v>
      </c>
      <c r="AB34" s="11" t="n">
        <v>46127</v>
      </c>
    </row>
    <row r="35" customFormat="false" ht="15" hidden="false" customHeight="false" outlineLevel="0" collapsed="false">
      <c r="A35" s="3" t="s">
        <v>189</v>
      </c>
      <c r="B35" s="3" t="s">
        <v>48</v>
      </c>
      <c r="C35" s="3" t="s">
        <v>190</v>
      </c>
      <c r="E35" s="3" t="s">
        <v>191</v>
      </c>
      <c r="F35" s="3" t="s">
        <v>51</v>
      </c>
      <c r="G35" s="3" t="s">
        <v>52</v>
      </c>
      <c r="H35" s="3" t="s">
        <v>53</v>
      </c>
      <c r="I35" s="3" t="s">
        <v>192</v>
      </c>
      <c r="M35" s="8" t="n">
        <v>363750</v>
      </c>
      <c r="N35" s="8" t="n">
        <v>242519</v>
      </c>
      <c r="O35" s="9" t="n">
        <v>8.9</v>
      </c>
      <c r="P35" s="9" t="n">
        <v>50</v>
      </c>
      <c r="R35" s="9" t="n">
        <v>1</v>
      </c>
      <c r="T35" s="10" t="n">
        <v>29.9</v>
      </c>
      <c r="U35" s="9" t="n">
        <v>4</v>
      </c>
      <c r="V35" s="3" t="s">
        <v>55</v>
      </c>
      <c r="W35" s="9" t="n">
        <v>1</v>
      </c>
      <c r="Z35" s="3" t="s">
        <v>56</v>
      </c>
      <c r="AA35" s="3" t="s">
        <v>57</v>
      </c>
      <c r="AB35" s="11" t="n">
        <v>46127</v>
      </c>
    </row>
    <row r="36" customFormat="false" ht="15" hidden="false" customHeight="false" outlineLevel="0" collapsed="false">
      <c r="A36" s="3" t="s">
        <v>193</v>
      </c>
      <c r="B36" s="3" t="s">
        <v>48</v>
      </c>
      <c r="C36" s="3" t="s">
        <v>194</v>
      </c>
      <c r="E36" s="3" t="s">
        <v>195</v>
      </c>
      <c r="F36" s="3" t="s">
        <v>51</v>
      </c>
      <c r="G36" s="3" t="s">
        <v>52</v>
      </c>
      <c r="H36" s="3" t="s">
        <v>53</v>
      </c>
      <c r="I36" s="3" t="s">
        <v>196</v>
      </c>
      <c r="M36" s="8" t="n">
        <v>301450</v>
      </c>
      <c r="N36" s="8" t="n">
        <v>1147576</v>
      </c>
      <c r="O36" s="9" t="n">
        <v>20</v>
      </c>
      <c r="P36" s="9" t="n">
        <v>66</v>
      </c>
      <c r="R36" s="9" t="n">
        <v>1</v>
      </c>
      <c r="T36" s="10" t="n">
        <v>16.8</v>
      </c>
      <c r="U36" s="9" t="n">
        <v>3</v>
      </c>
      <c r="V36" s="3" t="s">
        <v>55</v>
      </c>
      <c r="W36" s="9" t="n">
        <v>1</v>
      </c>
      <c r="Z36" s="3" t="s">
        <v>56</v>
      </c>
      <c r="AA36" s="3" t="s">
        <v>57</v>
      </c>
      <c r="AB36" s="11" t="n">
        <v>46127</v>
      </c>
    </row>
    <row r="37" customFormat="false" ht="15" hidden="false" customHeight="false" outlineLevel="0" collapsed="false">
      <c r="A37" s="3" t="s">
        <v>197</v>
      </c>
      <c r="B37" s="3" t="s">
        <v>48</v>
      </c>
      <c r="C37" s="3" t="s">
        <v>198</v>
      </c>
      <c r="E37" s="3" t="s">
        <v>199</v>
      </c>
      <c r="F37" s="3" t="s">
        <v>51</v>
      </c>
      <c r="G37" s="3" t="s">
        <v>52</v>
      </c>
      <c r="H37" s="3" t="s">
        <v>53</v>
      </c>
      <c r="I37" s="3" t="s">
        <v>200</v>
      </c>
      <c r="M37" s="8" t="n">
        <v>352358</v>
      </c>
      <c r="N37" s="8" t="n">
        <v>718807</v>
      </c>
      <c r="O37" s="9" t="n">
        <v>4.1</v>
      </c>
      <c r="P37" s="9" t="n">
        <v>73</v>
      </c>
      <c r="R37" s="9" t="n">
        <v>1</v>
      </c>
      <c r="T37" s="10" t="n">
        <v>86</v>
      </c>
      <c r="U37" s="9" t="n">
        <v>9</v>
      </c>
      <c r="V37" s="3" t="s">
        <v>55</v>
      </c>
      <c r="W37" s="9" t="n">
        <v>1</v>
      </c>
      <c r="Z37" s="3" t="s">
        <v>56</v>
      </c>
      <c r="AA37" s="3" t="s">
        <v>57</v>
      </c>
      <c r="AB37" s="11" t="n">
        <v>46127</v>
      </c>
    </row>
    <row r="38" customFormat="false" ht="15" hidden="false" customHeight="false" outlineLevel="0" collapsed="false">
      <c r="A38" s="3" t="s">
        <v>201</v>
      </c>
      <c r="B38" s="3" t="s">
        <v>48</v>
      </c>
      <c r="C38" s="3" t="s">
        <v>202</v>
      </c>
      <c r="E38" s="3" t="s">
        <v>203</v>
      </c>
      <c r="F38" s="3" t="s">
        <v>51</v>
      </c>
      <c r="G38" s="3" t="s">
        <v>52</v>
      </c>
      <c r="H38" s="3" t="s">
        <v>53</v>
      </c>
      <c r="I38" s="3" t="s">
        <v>204</v>
      </c>
      <c r="M38" s="8" t="n">
        <v>222567</v>
      </c>
      <c r="N38" s="8" t="n">
        <v>370071</v>
      </c>
      <c r="O38" s="9" t="n">
        <v>11</v>
      </c>
      <c r="P38" s="9" t="n">
        <v>73</v>
      </c>
      <c r="R38" s="9" t="n">
        <v>1</v>
      </c>
      <c r="T38" s="10" t="n">
        <v>27.2</v>
      </c>
      <c r="U38" s="9" t="n">
        <v>3</v>
      </c>
      <c r="V38" s="3" t="s">
        <v>83</v>
      </c>
      <c r="W38" s="9" t="n">
        <v>1</v>
      </c>
      <c r="Z38" s="3" t="s">
        <v>56</v>
      </c>
      <c r="AA38" s="3" t="s">
        <v>57</v>
      </c>
      <c r="AB38" s="11" t="n">
        <v>46127</v>
      </c>
    </row>
    <row r="39" customFormat="false" ht="15" hidden="false" customHeight="false" outlineLevel="0" collapsed="false">
      <c r="A39" s="3" t="s">
        <v>205</v>
      </c>
      <c r="B39" s="3" t="s">
        <v>48</v>
      </c>
      <c r="C39" s="3" t="s">
        <v>206</v>
      </c>
      <c r="E39" s="3" t="s">
        <v>207</v>
      </c>
      <c r="F39" s="3" t="s">
        <v>51</v>
      </c>
      <c r="G39" s="3" t="s">
        <v>52</v>
      </c>
      <c r="H39" s="3" t="s">
        <v>53</v>
      </c>
      <c r="I39" s="3" t="s">
        <v>208</v>
      </c>
      <c r="M39" s="8" t="n">
        <v>284494</v>
      </c>
      <c r="N39" s="8" t="n">
        <v>92009</v>
      </c>
      <c r="O39" s="9" t="n">
        <v>1.5</v>
      </c>
      <c r="P39" s="9" t="n">
        <v>42</v>
      </c>
      <c r="R39" s="9" t="n">
        <v>1</v>
      </c>
      <c r="T39" s="10" t="n">
        <v>31.7</v>
      </c>
      <c r="U39" s="9" t="n">
        <v>4</v>
      </c>
      <c r="V39" s="3" t="s">
        <v>83</v>
      </c>
      <c r="W39" s="9" t="n">
        <v>1</v>
      </c>
      <c r="Z39" s="3" t="s">
        <v>56</v>
      </c>
      <c r="AA39" s="3" t="s">
        <v>57</v>
      </c>
      <c r="AB39" s="11" t="n">
        <v>46127</v>
      </c>
    </row>
    <row r="40" customFormat="false" ht="15" hidden="false" customHeight="false" outlineLevel="0" collapsed="false">
      <c r="A40" s="3" t="s">
        <v>209</v>
      </c>
      <c r="B40" s="3" t="s">
        <v>48</v>
      </c>
      <c r="C40" s="3" t="s">
        <v>210</v>
      </c>
      <c r="E40" s="3" t="s">
        <v>211</v>
      </c>
      <c r="F40" s="3" t="s">
        <v>51</v>
      </c>
      <c r="G40" s="3" t="s">
        <v>52</v>
      </c>
      <c r="H40" s="3" t="s">
        <v>53</v>
      </c>
      <c r="I40" s="3" t="s">
        <v>212</v>
      </c>
      <c r="M40" s="8" t="n">
        <v>387059</v>
      </c>
      <c r="N40" s="8" t="n">
        <v>366189</v>
      </c>
      <c r="O40" s="9" t="n">
        <v>5.3</v>
      </c>
      <c r="P40" s="9" t="n">
        <v>47</v>
      </c>
      <c r="R40" s="9" t="n">
        <v>1</v>
      </c>
      <c r="T40" s="10" t="n">
        <v>87.9</v>
      </c>
      <c r="U40" s="9" t="n">
        <v>1</v>
      </c>
      <c r="V40" s="3" t="s">
        <v>62</v>
      </c>
      <c r="W40" s="9" t="n">
        <v>1</v>
      </c>
      <c r="Z40" s="3" t="s">
        <v>56</v>
      </c>
      <c r="AA40" s="3" t="s">
        <v>57</v>
      </c>
      <c r="AB40" s="11" t="n">
        <v>46127</v>
      </c>
    </row>
    <row r="41" customFormat="false" ht="15" hidden="false" customHeight="false" outlineLevel="0" collapsed="false">
      <c r="A41" s="3" t="s">
        <v>213</v>
      </c>
      <c r="B41" s="3" t="s">
        <v>48</v>
      </c>
      <c r="C41" s="3" t="s">
        <v>214</v>
      </c>
      <c r="E41" s="3" t="s">
        <v>215</v>
      </c>
      <c r="F41" s="3" t="s">
        <v>51</v>
      </c>
      <c r="G41" s="3" t="s">
        <v>52</v>
      </c>
      <c r="H41" s="3" t="s">
        <v>53</v>
      </c>
      <c r="I41" s="3" t="s">
        <v>216</v>
      </c>
      <c r="M41" s="8" t="n">
        <v>320921</v>
      </c>
      <c r="N41" s="8" t="n">
        <v>244125</v>
      </c>
      <c r="O41" s="9" t="n">
        <v>11.4</v>
      </c>
      <c r="P41" s="9" t="n">
        <v>66</v>
      </c>
      <c r="R41" s="9" t="n">
        <v>1</v>
      </c>
      <c r="T41" s="10" t="n">
        <v>55.7</v>
      </c>
      <c r="U41" s="9" t="n">
        <v>6</v>
      </c>
      <c r="V41" s="3" t="s">
        <v>83</v>
      </c>
      <c r="W41" s="9" t="n">
        <v>1</v>
      </c>
      <c r="Z41" s="3" t="s">
        <v>56</v>
      </c>
      <c r="AA41" s="3" t="s">
        <v>57</v>
      </c>
      <c r="AB41" s="11" t="n">
        <v>46127</v>
      </c>
    </row>
    <row r="42" customFormat="false" ht="15" hidden="false" customHeight="false" outlineLevel="0" collapsed="false">
      <c r="A42" s="3" t="s">
        <v>217</v>
      </c>
      <c r="B42" s="3" t="s">
        <v>48</v>
      </c>
      <c r="C42" s="3" t="s">
        <v>218</v>
      </c>
      <c r="E42" s="3" t="s">
        <v>219</v>
      </c>
      <c r="F42" s="3" t="s">
        <v>51</v>
      </c>
      <c r="G42" s="3" t="s">
        <v>52</v>
      </c>
      <c r="H42" s="3" t="s">
        <v>53</v>
      </c>
      <c r="I42" s="3" t="s">
        <v>220</v>
      </c>
      <c r="M42" s="8" t="n">
        <v>163962</v>
      </c>
      <c r="N42" s="8" t="n">
        <v>129382</v>
      </c>
      <c r="O42" s="9" t="n">
        <v>29.4</v>
      </c>
      <c r="P42" s="9" t="n">
        <v>70</v>
      </c>
      <c r="R42" s="9" t="n">
        <v>1</v>
      </c>
      <c r="T42" s="10" t="n">
        <v>28.5</v>
      </c>
      <c r="U42" s="9" t="n">
        <v>5</v>
      </c>
      <c r="V42" s="3" t="s">
        <v>62</v>
      </c>
      <c r="W42" s="9" t="n">
        <v>1</v>
      </c>
      <c r="Z42" s="3" t="s">
        <v>56</v>
      </c>
      <c r="AA42" s="3" t="s">
        <v>57</v>
      </c>
      <c r="AB42" s="11" t="n">
        <v>46127</v>
      </c>
    </row>
    <row r="43" customFormat="false" ht="15" hidden="false" customHeight="false" outlineLevel="0" collapsed="false">
      <c r="A43" s="3" t="s">
        <v>221</v>
      </c>
      <c r="B43" s="3" t="s">
        <v>48</v>
      </c>
      <c r="C43" s="3" t="s">
        <v>222</v>
      </c>
      <c r="E43" s="3" t="s">
        <v>223</v>
      </c>
      <c r="F43" s="3" t="s">
        <v>51</v>
      </c>
      <c r="G43" s="3" t="s">
        <v>52</v>
      </c>
      <c r="H43" s="3" t="s">
        <v>53</v>
      </c>
      <c r="I43" s="3" t="s">
        <v>224</v>
      </c>
      <c r="M43" s="8" t="n">
        <v>540868</v>
      </c>
      <c r="N43" s="8" t="n">
        <v>536620</v>
      </c>
      <c r="O43" s="9" t="n">
        <v>20.2</v>
      </c>
      <c r="P43" s="9" t="n">
        <v>73</v>
      </c>
      <c r="R43" s="9" t="n">
        <v>1</v>
      </c>
      <c r="T43" s="10" t="n">
        <v>78.1</v>
      </c>
      <c r="U43" s="9" t="n">
        <v>7</v>
      </c>
      <c r="V43" s="3" t="s">
        <v>62</v>
      </c>
      <c r="W43" s="9" t="n">
        <v>1</v>
      </c>
      <c r="Z43" s="3" t="s">
        <v>56</v>
      </c>
      <c r="AA43" s="3" t="s">
        <v>57</v>
      </c>
      <c r="AB43" s="11" t="n">
        <v>46127</v>
      </c>
    </row>
    <row r="44" customFormat="false" ht="15" hidden="false" customHeight="false" outlineLevel="0" collapsed="false">
      <c r="A44" s="3" t="s">
        <v>225</v>
      </c>
      <c r="B44" s="3" t="s">
        <v>48</v>
      </c>
      <c r="C44" s="3" t="s">
        <v>226</v>
      </c>
      <c r="E44" s="3" t="s">
        <v>227</v>
      </c>
      <c r="F44" s="3" t="s">
        <v>51</v>
      </c>
      <c r="G44" s="3" t="s">
        <v>52</v>
      </c>
      <c r="H44" s="3" t="s">
        <v>53</v>
      </c>
      <c r="I44" s="3" t="s">
        <v>228</v>
      </c>
      <c r="M44" s="8" t="n">
        <v>221159</v>
      </c>
      <c r="N44" s="8" t="n">
        <v>562512</v>
      </c>
      <c r="O44" s="9" t="n">
        <v>7.8</v>
      </c>
      <c r="P44" s="9" t="n">
        <v>46</v>
      </c>
      <c r="R44" s="9" t="n">
        <v>1</v>
      </c>
      <c r="T44" s="10" t="n">
        <v>63.5</v>
      </c>
      <c r="U44" s="9" t="n">
        <v>10</v>
      </c>
      <c r="V44" s="3" t="s">
        <v>83</v>
      </c>
      <c r="W44" s="9" t="n">
        <v>1</v>
      </c>
      <c r="Z44" s="3" t="s">
        <v>56</v>
      </c>
      <c r="AA44" s="3" t="s">
        <v>57</v>
      </c>
      <c r="AB44" s="11" t="n">
        <v>46127</v>
      </c>
    </row>
    <row r="45" customFormat="false" ht="15" hidden="false" customHeight="false" outlineLevel="0" collapsed="false">
      <c r="A45" s="3" t="s">
        <v>229</v>
      </c>
      <c r="B45" s="3" t="s">
        <v>48</v>
      </c>
      <c r="C45" s="3" t="s">
        <v>230</v>
      </c>
      <c r="E45" s="3" t="s">
        <v>231</v>
      </c>
      <c r="F45" s="3" t="s">
        <v>51</v>
      </c>
      <c r="G45" s="3" t="s">
        <v>52</v>
      </c>
      <c r="H45" s="3" t="s">
        <v>53</v>
      </c>
      <c r="I45" s="3" t="s">
        <v>232</v>
      </c>
      <c r="M45" s="8" t="n">
        <v>436680</v>
      </c>
      <c r="N45" s="8" t="n">
        <v>191394</v>
      </c>
      <c r="O45" s="9" t="n">
        <v>17.1</v>
      </c>
      <c r="P45" s="9" t="n">
        <v>51</v>
      </c>
      <c r="R45" s="9" t="n">
        <v>3</v>
      </c>
      <c r="T45" s="10" t="n">
        <v>20.9</v>
      </c>
      <c r="U45" s="9" t="n">
        <v>9</v>
      </c>
      <c r="V45" s="3" t="s">
        <v>55</v>
      </c>
      <c r="W45" s="9" t="n">
        <v>1</v>
      </c>
      <c r="Z45" s="3" t="s">
        <v>56</v>
      </c>
      <c r="AA45" s="3" t="s">
        <v>57</v>
      </c>
      <c r="AB45" s="11" t="n">
        <v>46127</v>
      </c>
    </row>
    <row r="46" customFormat="false" ht="15" hidden="false" customHeight="false" outlineLevel="0" collapsed="false">
      <c r="A46" s="3" t="s">
        <v>233</v>
      </c>
      <c r="B46" s="3" t="s">
        <v>48</v>
      </c>
      <c r="C46" s="3" t="s">
        <v>234</v>
      </c>
      <c r="E46" s="3" t="s">
        <v>235</v>
      </c>
      <c r="F46" s="3" t="s">
        <v>51</v>
      </c>
      <c r="G46" s="3" t="s">
        <v>52</v>
      </c>
      <c r="H46" s="3" t="s">
        <v>53</v>
      </c>
      <c r="I46" s="3" t="s">
        <v>236</v>
      </c>
      <c r="M46" s="8" t="n">
        <v>490301</v>
      </c>
      <c r="N46" s="8" t="n">
        <v>104135</v>
      </c>
      <c r="O46" s="9" t="n">
        <v>7.2</v>
      </c>
      <c r="P46" s="9" t="n">
        <v>50</v>
      </c>
      <c r="R46" s="9" t="n">
        <v>1</v>
      </c>
      <c r="T46" s="10" t="n">
        <v>37.7</v>
      </c>
      <c r="U46" s="9" t="n">
        <v>7</v>
      </c>
      <c r="V46" s="3" t="s">
        <v>92</v>
      </c>
      <c r="W46" s="9" t="n">
        <v>1</v>
      </c>
      <c r="Z46" s="3" t="s">
        <v>56</v>
      </c>
      <c r="AA46" s="3" t="s">
        <v>57</v>
      </c>
      <c r="AB46" s="11" t="n">
        <v>46127</v>
      </c>
    </row>
    <row r="47" customFormat="false" ht="15" hidden="false" customHeight="false" outlineLevel="0" collapsed="false">
      <c r="A47" s="3" t="s">
        <v>237</v>
      </c>
      <c r="B47" s="3" t="s">
        <v>48</v>
      </c>
      <c r="C47" s="3" t="s">
        <v>238</v>
      </c>
      <c r="E47" s="3" t="s">
        <v>239</v>
      </c>
      <c r="F47" s="3" t="s">
        <v>51</v>
      </c>
      <c r="G47" s="3" t="s">
        <v>52</v>
      </c>
      <c r="H47" s="3" t="s">
        <v>53</v>
      </c>
      <c r="I47" s="3" t="s">
        <v>240</v>
      </c>
      <c r="M47" s="8" t="n">
        <v>375468</v>
      </c>
      <c r="N47" s="8" t="n">
        <v>151763</v>
      </c>
      <c r="O47" s="9" t="n">
        <v>12.9</v>
      </c>
      <c r="P47" s="9" t="n">
        <v>68</v>
      </c>
      <c r="R47" s="9" t="n">
        <v>1</v>
      </c>
      <c r="T47" s="10" t="n">
        <v>53</v>
      </c>
      <c r="U47" s="9" t="n">
        <v>1</v>
      </c>
      <c r="V47" s="3" t="s">
        <v>92</v>
      </c>
      <c r="W47" s="9" t="n">
        <v>1</v>
      </c>
      <c r="Z47" s="3" t="s">
        <v>56</v>
      </c>
      <c r="AA47" s="3" t="s">
        <v>57</v>
      </c>
      <c r="AB47" s="11" t="n">
        <v>46127</v>
      </c>
    </row>
    <row r="48" customFormat="false" ht="15" hidden="false" customHeight="false" outlineLevel="0" collapsed="false">
      <c r="A48" s="3" t="s">
        <v>241</v>
      </c>
      <c r="B48" s="3" t="s">
        <v>48</v>
      </c>
      <c r="C48" s="3" t="s">
        <v>242</v>
      </c>
      <c r="E48" s="3" t="s">
        <v>243</v>
      </c>
      <c r="F48" s="3" t="s">
        <v>51</v>
      </c>
      <c r="G48" s="3" t="s">
        <v>52</v>
      </c>
      <c r="H48" s="3" t="s">
        <v>53</v>
      </c>
      <c r="I48" s="3" t="s">
        <v>244</v>
      </c>
      <c r="M48" s="8" t="n">
        <v>597386</v>
      </c>
      <c r="N48" s="8" t="n">
        <v>409452</v>
      </c>
      <c r="O48" s="9" t="n">
        <v>13.4</v>
      </c>
      <c r="P48" s="9" t="n">
        <v>73</v>
      </c>
      <c r="R48" s="9" t="n">
        <v>1</v>
      </c>
      <c r="T48" s="10" t="n">
        <v>62.2</v>
      </c>
      <c r="U48" s="9" t="n">
        <v>9</v>
      </c>
      <c r="V48" s="3" t="s">
        <v>92</v>
      </c>
      <c r="W48" s="9" t="n">
        <v>1</v>
      </c>
      <c r="Z48" s="3" t="s">
        <v>56</v>
      </c>
      <c r="AA48" s="3" t="s">
        <v>57</v>
      </c>
      <c r="AB48" s="11" t="n">
        <v>46127</v>
      </c>
    </row>
    <row r="49" customFormat="false" ht="15" hidden="false" customHeight="false" outlineLevel="0" collapsed="false">
      <c r="A49" s="3" t="s">
        <v>245</v>
      </c>
      <c r="B49" s="3" t="s">
        <v>48</v>
      </c>
      <c r="C49" s="3" t="s">
        <v>246</v>
      </c>
      <c r="E49" s="3" t="s">
        <v>247</v>
      </c>
      <c r="F49" s="3" t="s">
        <v>51</v>
      </c>
      <c r="G49" s="3" t="s">
        <v>52</v>
      </c>
      <c r="H49" s="3" t="s">
        <v>53</v>
      </c>
      <c r="I49" s="3" t="s">
        <v>248</v>
      </c>
      <c r="M49" s="8" t="n">
        <v>776664</v>
      </c>
      <c r="N49" s="8" t="n">
        <v>255801</v>
      </c>
      <c r="O49" s="9" t="n">
        <v>19.7</v>
      </c>
      <c r="P49" s="9" t="n">
        <v>38</v>
      </c>
      <c r="R49" s="9" t="n">
        <v>1</v>
      </c>
      <c r="T49" s="10" t="n">
        <v>35.1</v>
      </c>
      <c r="U49" s="9" t="n">
        <v>5</v>
      </c>
      <c r="V49" s="3" t="s">
        <v>83</v>
      </c>
      <c r="W49" s="9" t="n">
        <v>1</v>
      </c>
      <c r="Z49" s="3" t="s">
        <v>56</v>
      </c>
      <c r="AA49" s="3" t="s">
        <v>57</v>
      </c>
      <c r="AB49" s="11" t="n">
        <v>46127</v>
      </c>
    </row>
    <row r="50" customFormat="false" ht="15" hidden="false" customHeight="false" outlineLevel="0" collapsed="false">
      <c r="A50" s="3" t="s">
        <v>249</v>
      </c>
      <c r="B50" s="3" t="s">
        <v>48</v>
      </c>
      <c r="C50" s="3" t="s">
        <v>250</v>
      </c>
      <c r="E50" s="3" t="s">
        <v>251</v>
      </c>
      <c r="F50" s="3" t="s">
        <v>51</v>
      </c>
      <c r="G50" s="3" t="s">
        <v>52</v>
      </c>
      <c r="H50" s="3" t="s">
        <v>53</v>
      </c>
      <c r="I50" s="3" t="s">
        <v>252</v>
      </c>
      <c r="M50" s="8" t="n">
        <v>664906</v>
      </c>
      <c r="N50" s="8" t="n">
        <v>509735</v>
      </c>
      <c r="O50" s="9" t="n">
        <v>18.6</v>
      </c>
      <c r="P50" s="9" t="n">
        <v>61</v>
      </c>
      <c r="R50" s="9" t="n">
        <v>2</v>
      </c>
      <c r="T50" s="10" t="n">
        <v>57.6</v>
      </c>
      <c r="U50" s="9" t="n">
        <v>7</v>
      </c>
      <c r="V50" s="3" t="s">
        <v>62</v>
      </c>
      <c r="W50" s="9" t="n">
        <v>1</v>
      </c>
      <c r="Z50" s="3" t="s">
        <v>56</v>
      </c>
      <c r="AA50" s="3" t="s">
        <v>57</v>
      </c>
      <c r="AB50" s="11" t="n">
        <v>46127</v>
      </c>
    </row>
    <row r="51" customFormat="false" ht="15" hidden="false" customHeight="false" outlineLevel="0" collapsed="false">
      <c r="A51" s="3" t="s">
        <v>253</v>
      </c>
      <c r="B51" s="3" t="s">
        <v>48</v>
      </c>
      <c r="C51" s="3" t="s">
        <v>254</v>
      </c>
      <c r="E51" s="3" t="s">
        <v>255</v>
      </c>
      <c r="F51" s="3" t="s">
        <v>51</v>
      </c>
      <c r="G51" s="3" t="s">
        <v>52</v>
      </c>
      <c r="H51" s="3" t="s">
        <v>53</v>
      </c>
      <c r="I51" s="3" t="s">
        <v>256</v>
      </c>
      <c r="M51" s="8" t="n">
        <v>1694858</v>
      </c>
      <c r="N51" s="8" t="n">
        <v>201170</v>
      </c>
      <c r="O51" s="9" t="n">
        <v>24.9</v>
      </c>
      <c r="P51" s="9" t="n">
        <v>39</v>
      </c>
      <c r="R51" s="9" t="n">
        <v>1</v>
      </c>
      <c r="T51" s="10" t="n">
        <v>20</v>
      </c>
      <c r="U51" s="9" t="n">
        <v>6</v>
      </c>
      <c r="V51" s="3" t="s">
        <v>92</v>
      </c>
      <c r="W51" s="9" t="n">
        <v>1</v>
      </c>
      <c r="Z51" s="3" t="s">
        <v>56</v>
      </c>
      <c r="AA51" s="3" t="s">
        <v>57</v>
      </c>
      <c r="AB51" s="11" t="n">
        <v>46127</v>
      </c>
    </row>
    <row r="52" customFormat="false" ht="15" hidden="false" customHeight="false" outlineLevel="0" collapsed="false">
      <c r="A52" s="3" t="s">
        <v>257</v>
      </c>
      <c r="B52" s="3" t="s">
        <v>48</v>
      </c>
      <c r="C52" s="3" t="s">
        <v>258</v>
      </c>
      <c r="E52" s="3" t="s">
        <v>259</v>
      </c>
      <c r="F52" s="3" t="s">
        <v>51</v>
      </c>
      <c r="G52" s="3" t="s">
        <v>52</v>
      </c>
      <c r="H52" s="3" t="s">
        <v>53</v>
      </c>
      <c r="I52" s="3" t="s">
        <v>260</v>
      </c>
      <c r="M52" s="8" t="n">
        <v>186604</v>
      </c>
      <c r="N52" s="8" t="n">
        <v>95682</v>
      </c>
      <c r="O52" s="9" t="n">
        <v>22</v>
      </c>
      <c r="P52" s="9" t="n">
        <v>51</v>
      </c>
      <c r="R52" s="9" t="n">
        <v>1</v>
      </c>
      <c r="T52" s="10" t="n">
        <v>52.6</v>
      </c>
      <c r="U52" s="9" t="n">
        <v>6</v>
      </c>
      <c r="V52" s="3" t="s">
        <v>83</v>
      </c>
      <c r="W52" s="9" t="n">
        <v>1</v>
      </c>
      <c r="Z52" s="3" t="s">
        <v>56</v>
      </c>
      <c r="AA52" s="3" t="s">
        <v>57</v>
      </c>
      <c r="AB52" s="11" t="n">
        <v>46127</v>
      </c>
    </row>
    <row r="53" customFormat="false" ht="15" hidden="false" customHeight="false" outlineLevel="0" collapsed="false">
      <c r="A53" s="3" t="s">
        <v>261</v>
      </c>
      <c r="B53" s="3" t="s">
        <v>48</v>
      </c>
      <c r="C53" s="3" t="s">
        <v>262</v>
      </c>
      <c r="E53" s="3" t="s">
        <v>263</v>
      </c>
      <c r="F53" s="3" t="s">
        <v>51</v>
      </c>
      <c r="G53" s="3" t="s">
        <v>52</v>
      </c>
      <c r="H53" s="3" t="s">
        <v>53</v>
      </c>
      <c r="I53" s="3" t="s">
        <v>264</v>
      </c>
      <c r="M53" s="8" t="n">
        <v>518227</v>
      </c>
      <c r="N53" s="8" t="n">
        <v>500286</v>
      </c>
      <c r="O53" s="9" t="n">
        <v>21.6</v>
      </c>
      <c r="P53" s="9" t="n">
        <v>49</v>
      </c>
      <c r="R53" s="9" t="n">
        <v>1</v>
      </c>
      <c r="T53" s="10" t="n">
        <v>22</v>
      </c>
      <c r="U53" s="9" t="n">
        <v>10</v>
      </c>
      <c r="V53" s="3" t="s">
        <v>55</v>
      </c>
      <c r="W53" s="9" t="n">
        <v>1</v>
      </c>
      <c r="Z53" s="3" t="s">
        <v>56</v>
      </c>
      <c r="AA53" s="3" t="s">
        <v>57</v>
      </c>
      <c r="AB53" s="11" t="n">
        <v>46127</v>
      </c>
    </row>
    <row r="54" customFormat="false" ht="15" hidden="false" customHeight="false" outlineLevel="0" collapsed="false">
      <c r="A54" s="3" t="s">
        <v>265</v>
      </c>
      <c r="B54" s="3" t="s">
        <v>48</v>
      </c>
      <c r="C54" s="3" t="s">
        <v>266</v>
      </c>
      <c r="E54" s="3" t="s">
        <v>267</v>
      </c>
      <c r="F54" s="3" t="s">
        <v>51</v>
      </c>
      <c r="G54" s="3" t="s">
        <v>52</v>
      </c>
      <c r="H54" s="3" t="s">
        <v>53</v>
      </c>
      <c r="I54" s="3" t="s">
        <v>268</v>
      </c>
      <c r="M54" s="8" t="n">
        <v>253679</v>
      </c>
      <c r="N54" s="8" t="n">
        <v>174910</v>
      </c>
      <c r="O54" s="9" t="n">
        <v>13</v>
      </c>
      <c r="P54" s="9" t="n">
        <v>49</v>
      </c>
      <c r="R54" s="9" t="n">
        <v>1</v>
      </c>
      <c r="T54" s="10" t="n">
        <v>47</v>
      </c>
      <c r="U54" s="9" t="n">
        <v>3</v>
      </c>
      <c r="V54" s="3" t="s">
        <v>55</v>
      </c>
      <c r="W54" s="9" t="n">
        <v>1</v>
      </c>
      <c r="Z54" s="3" t="s">
        <v>56</v>
      </c>
      <c r="AA54" s="3" t="s">
        <v>57</v>
      </c>
      <c r="AB54" s="11" t="n">
        <v>46127</v>
      </c>
    </row>
    <row r="55" customFormat="false" ht="15" hidden="false" customHeight="false" outlineLevel="0" collapsed="false">
      <c r="A55" s="3" t="s">
        <v>269</v>
      </c>
      <c r="B55" s="3" t="s">
        <v>48</v>
      </c>
      <c r="C55" s="3" t="s">
        <v>270</v>
      </c>
      <c r="E55" s="3" t="s">
        <v>271</v>
      </c>
      <c r="F55" s="3" t="s">
        <v>51</v>
      </c>
      <c r="G55" s="3" t="s">
        <v>52</v>
      </c>
      <c r="H55" s="3" t="s">
        <v>53</v>
      </c>
      <c r="I55" s="3" t="s">
        <v>272</v>
      </c>
      <c r="M55" s="8" t="n">
        <v>339858</v>
      </c>
      <c r="N55" s="8" t="n">
        <v>677880</v>
      </c>
      <c r="O55" s="9" t="n">
        <v>23.1</v>
      </c>
      <c r="P55" s="9" t="n">
        <v>67</v>
      </c>
      <c r="R55" s="9" t="n">
        <v>1</v>
      </c>
      <c r="T55" s="10" t="n">
        <v>61.5</v>
      </c>
      <c r="U55" s="9" t="n">
        <v>5</v>
      </c>
      <c r="V55" s="3" t="s">
        <v>83</v>
      </c>
      <c r="W55" s="9" t="n">
        <v>1</v>
      </c>
      <c r="Z55" s="3" t="s">
        <v>56</v>
      </c>
      <c r="AA55" s="3" t="s">
        <v>57</v>
      </c>
      <c r="AB55" s="11" t="n">
        <v>46127</v>
      </c>
    </row>
    <row r="56" customFormat="false" ht="15" hidden="false" customHeight="false" outlineLevel="0" collapsed="false">
      <c r="A56" s="3" t="s">
        <v>273</v>
      </c>
      <c r="B56" s="3" t="s">
        <v>48</v>
      </c>
      <c r="C56" s="3" t="s">
        <v>274</v>
      </c>
      <c r="E56" s="3" t="s">
        <v>275</v>
      </c>
      <c r="F56" s="3" t="s">
        <v>51</v>
      </c>
      <c r="G56" s="3" t="s">
        <v>52</v>
      </c>
      <c r="H56" s="3" t="s">
        <v>53</v>
      </c>
      <c r="I56" s="3" t="s">
        <v>276</v>
      </c>
      <c r="M56" s="8" t="n">
        <v>330402</v>
      </c>
      <c r="N56" s="8" t="n">
        <v>165934</v>
      </c>
      <c r="O56" s="9" t="n">
        <v>14.8</v>
      </c>
      <c r="P56" s="9" t="n">
        <v>59</v>
      </c>
      <c r="R56" s="9" t="n">
        <v>1</v>
      </c>
      <c r="T56" s="10" t="n">
        <v>72.7</v>
      </c>
      <c r="U56" s="9" t="n">
        <v>2</v>
      </c>
      <c r="V56" s="3" t="s">
        <v>83</v>
      </c>
      <c r="W56" s="9" t="n">
        <v>1</v>
      </c>
      <c r="Z56" s="3" t="s">
        <v>56</v>
      </c>
      <c r="AA56" s="3" t="s">
        <v>57</v>
      </c>
      <c r="AB56" s="11" t="n">
        <v>46127</v>
      </c>
    </row>
    <row r="57" customFormat="false" ht="15" hidden="false" customHeight="false" outlineLevel="0" collapsed="false">
      <c r="A57" s="3" t="s">
        <v>277</v>
      </c>
      <c r="B57" s="3" t="s">
        <v>48</v>
      </c>
      <c r="C57" s="3" t="s">
        <v>278</v>
      </c>
      <c r="E57" s="3" t="s">
        <v>279</v>
      </c>
      <c r="F57" s="3" t="s">
        <v>51</v>
      </c>
      <c r="G57" s="3" t="s">
        <v>52</v>
      </c>
      <c r="H57" s="3" t="s">
        <v>53</v>
      </c>
      <c r="I57" s="3" t="s">
        <v>280</v>
      </c>
      <c r="M57" s="8" t="n">
        <v>388248</v>
      </c>
      <c r="N57" s="8" t="n">
        <v>407423</v>
      </c>
      <c r="O57" s="9" t="n">
        <v>7.4</v>
      </c>
      <c r="P57" s="9" t="n">
        <v>54</v>
      </c>
      <c r="R57" s="9" t="n">
        <v>1</v>
      </c>
      <c r="T57" s="10" t="n">
        <v>23.7</v>
      </c>
      <c r="U57" s="9" t="n">
        <v>7</v>
      </c>
      <c r="V57" s="3" t="s">
        <v>55</v>
      </c>
      <c r="W57" s="9" t="n">
        <v>1</v>
      </c>
      <c r="Z57" s="3" t="s">
        <v>56</v>
      </c>
      <c r="AA57" s="3" t="s">
        <v>57</v>
      </c>
      <c r="AB57" s="11" t="n">
        <v>46127</v>
      </c>
    </row>
    <row r="58" customFormat="false" ht="15" hidden="false" customHeight="false" outlineLevel="0" collapsed="false">
      <c r="A58" s="3" t="s">
        <v>281</v>
      </c>
      <c r="B58" s="3" t="s">
        <v>48</v>
      </c>
      <c r="C58" s="3" t="s">
        <v>282</v>
      </c>
      <c r="E58" s="3" t="s">
        <v>283</v>
      </c>
      <c r="F58" s="3" t="s">
        <v>51</v>
      </c>
      <c r="G58" s="3" t="s">
        <v>52</v>
      </c>
      <c r="H58" s="3" t="s">
        <v>53</v>
      </c>
      <c r="I58" s="3" t="s">
        <v>284</v>
      </c>
      <c r="M58" s="8" t="n">
        <v>882938</v>
      </c>
      <c r="N58" s="8" t="n">
        <v>175999</v>
      </c>
      <c r="O58" s="9" t="n">
        <v>27.4</v>
      </c>
      <c r="P58" s="9" t="n">
        <v>45</v>
      </c>
      <c r="R58" s="9" t="n">
        <v>1</v>
      </c>
      <c r="T58" s="10" t="n">
        <v>93</v>
      </c>
      <c r="U58" s="9" t="n">
        <v>5</v>
      </c>
      <c r="V58" s="3" t="s">
        <v>62</v>
      </c>
      <c r="W58" s="9" t="n">
        <v>1</v>
      </c>
      <c r="Z58" s="3" t="s">
        <v>56</v>
      </c>
      <c r="AA58" s="3" t="s">
        <v>57</v>
      </c>
      <c r="AB58" s="11" t="n">
        <v>46127</v>
      </c>
    </row>
    <row r="59" customFormat="false" ht="15" hidden="false" customHeight="false" outlineLevel="0" collapsed="false">
      <c r="A59" s="3" t="s">
        <v>285</v>
      </c>
      <c r="B59" s="3" t="s">
        <v>48</v>
      </c>
      <c r="C59" s="3" t="s">
        <v>286</v>
      </c>
      <c r="E59" s="3" t="s">
        <v>287</v>
      </c>
      <c r="F59" s="3" t="s">
        <v>51</v>
      </c>
      <c r="G59" s="3" t="s">
        <v>52</v>
      </c>
      <c r="H59" s="3" t="s">
        <v>53</v>
      </c>
      <c r="I59" s="3" t="s">
        <v>288</v>
      </c>
      <c r="M59" s="8" t="n">
        <v>269675</v>
      </c>
      <c r="N59" s="8" t="n">
        <v>998378</v>
      </c>
      <c r="O59" s="9" t="n">
        <v>11.8</v>
      </c>
      <c r="P59" s="9" t="n">
        <v>62</v>
      </c>
      <c r="R59" s="9" t="n">
        <v>1</v>
      </c>
      <c r="T59" s="10" t="n">
        <v>40.8</v>
      </c>
      <c r="U59" s="9" t="n">
        <v>8</v>
      </c>
      <c r="V59" s="3" t="s">
        <v>62</v>
      </c>
      <c r="W59" s="9" t="n">
        <v>1</v>
      </c>
      <c r="Z59" s="3" t="s">
        <v>56</v>
      </c>
      <c r="AA59" s="3" t="s">
        <v>57</v>
      </c>
      <c r="AB59" s="11" t="n">
        <v>46127</v>
      </c>
    </row>
    <row r="60" customFormat="false" ht="15" hidden="false" customHeight="false" outlineLevel="0" collapsed="false">
      <c r="A60" s="3" t="s">
        <v>289</v>
      </c>
      <c r="B60" s="3" t="s">
        <v>48</v>
      </c>
      <c r="C60" s="3" t="s">
        <v>290</v>
      </c>
      <c r="E60" s="3" t="s">
        <v>291</v>
      </c>
      <c r="F60" s="3" t="s">
        <v>51</v>
      </c>
      <c r="G60" s="3" t="s">
        <v>52</v>
      </c>
      <c r="H60" s="3" t="s">
        <v>53</v>
      </c>
      <c r="I60" s="3" t="s">
        <v>292</v>
      </c>
      <c r="M60" s="8" t="n">
        <v>458813</v>
      </c>
      <c r="N60" s="8" t="n">
        <v>164720</v>
      </c>
      <c r="O60" s="9" t="n">
        <v>23.3</v>
      </c>
      <c r="P60" s="9" t="n">
        <v>54</v>
      </c>
      <c r="R60" s="9" t="n">
        <v>1</v>
      </c>
      <c r="T60" s="10" t="n">
        <v>31.1</v>
      </c>
      <c r="U60" s="9" t="n">
        <v>4</v>
      </c>
      <c r="V60" s="3" t="s">
        <v>83</v>
      </c>
      <c r="W60" s="9" t="n">
        <v>1</v>
      </c>
      <c r="Z60" s="3" t="s">
        <v>56</v>
      </c>
      <c r="AA60" s="3" t="s">
        <v>57</v>
      </c>
      <c r="AB60" s="11" t="n">
        <v>46127</v>
      </c>
    </row>
    <row r="61" customFormat="false" ht="15" hidden="false" customHeight="false" outlineLevel="0" collapsed="false">
      <c r="A61" s="3" t="s">
        <v>293</v>
      </c>
      <c r="B61" s="3" t="s">
        <v>48</v>
      </c>
      <c r="C61" s="3" t="s">
        <v>294</v>
      </c>
      <c r="E61" s="3" t="s">
        <v>295</v>
      </c>
      <c r="F61" s="3" t="s">
        <v>51</v>
      </c>
      <c r="G61" s="3" t="s">
        <v>52</v>
      </c>
      <c r="H61" s="3" t="s">
        <v>53</v>
      </c>
      <c r="I61" s="3" t="s">
        <v>296</v>
      </c>
      <c r="M61" s="8" t="n">
        <v>857092</v>
      </c>
      <c r="N61" s="8" t="n">
        <v>216383</v>
      </c>
      <c r="O61" s="9" t="n">
        <v>10.9</v>
      </c>
      <c r="P61" s="9" t="n">
        <v>61</v>
      </c>
      <c r="R61" s="9" t="n">
        <v>2</v>
      </c>
      <c r="T61" s="10" t="n">
        <v>76.6</v>
      </c>
      <c r="U61" s="9" t="n">
        <v>8</v>
      </c>
      <c r="V61" s="3" t="s">
        <v>83</v>
      </c>
      <c r="W61" s="9" t="n">
        <v>1</v>
      </c>
      <c r="Z61" s="3" t="s">
        <v>56</v>
      </c>
      <c r="AA61" s="3" t="s">
        <v>57</v>
      </c>
      <c r="AB61" s="11" t="n">
        <v>46127</v>
      </c>
    </row>
    <row r="62" customFormat="false" ht="15" hidden="false" customHeight="false" outlineLevel="0" collapsed="false">
      <c r="A62" s="3" t="s">
        <v>297</v>
      </c>
      <c r="B62" s="3" t="s">
        <v>48</v>
      </c>
      <c r="C62" s="3" t="s">
        <v>298</v>
      </c>
      <c r="E62" s="3" t="s">
        <v>299</v>
      </c>
      <c r="F62" s="3" t="s">
        <v>51</v>
      </c>
      <c r="G62" s="3" t="s">
        <v>52</v>
      </c>
      <c r="H62" s="3" t="s">
        <v>53</v>
      </c>
      <c r="I62" s="3" t="s">
        <v>300</v>
      </c>
      <c r="M62" s="8" t="n">
        <v>231575</v>
      </c>
      <c r="N62" s="8" t="n">
        <v>235071</v>
      </c>
      <c r="O62" s="9" t="n">
        <v>25.4</v>
      </c>
      <c r="P62" s="9" t="n">
        <v>44</v>
      </c>
      <c r="R62" s="9" t="n">
        <v>1</v>
      </c>
      <c r="T62" s="10" t="n">
        <v>33.2</v>
      </c>
      <c r="U62" s="9" t="n">
        <v>3</v>
      </c>
      <c r="V62" s="3" t="s">
        <v>83</v>
      </c>
      <c r="W62" s="9" t="n">
        <v>1</v>
      </c>
      <c r="Z62" s="3" t="s">
        <v>56</v>
      </c>
      <c r="AA62" s="3" t="s">
        <v>57</v>
      </c>
      <c r="AB62" s="11" t="n">
        <v>46127</v>
      </c>
    </row>
    <row r="63" customFormat="false" ht="15" hidden="false" customHeight="false" outlineLevel="0" collapsed="false">
      <c r="A63" s="3" t="s">
        <v>301</v>
      </c>
      <c r="B63" s="3" t="s">
        <v>48</v>
      </c>
      <c r="C63" s="3" t="s">
        <v>302</v>
      </c>
      <c r="E63" s="3" t="s">
        <v>303</v>
      </c>
      <c r="F63" s="3" t="s">
        <v>51</v>
      </c>
      <c r="G63" s="3" t="s">
        <v>52</v>
      </c>
      <c r="H63" s="3" t="s">
        <v>53</v>
      </c>
      <c r="I63" s="3" t="s">
        <v>304</v>
      </c>
      <c r="M63" s="8" t="n">
        <v>323844</v>
      </c>
      <c r="N63" s="8" t="n">
        <v>415918</v>
      </c>
      <c r="O63" s="9" t="n">
        <v>28.9</v>
      </c>
      <c r="P63" s="9" t="n">
        <v>68</v>
      </c>
      <c r="R63" s="9" t="n">
        <v>1</v>
      </c>
      <c r="T63" s="10" t="n">
        <v>46.5</v>
      </c>
      <c r="U63" s="9" t="n">
        <v>5</v>
      </c>
      <c r="V63" s="3" t="s">
        <v>62</v>
      </c>
      <c r="W63" s="9" t="n">
        <v>1</v>
      </c>
      <c r="Z63" s="3" t="s">
        <v>56</v>
      </c>
      <c r="AA63" s="3" t="s">
        <v>57</v>
      </c>
      <c r="AB63" s="11" t="n">
        <v>46127</v>
      </c>
    </row>
    <row r="64" customFormat="false" ht="15" hidden="false" customHeight="false" outlineLevel="0" collapsed="false">
      <c r="A64" s="3" t="s">
        <v>305</v>
      </c>
      <c r="B64" s="3" t="s">
        <v>48</v>
      </c>
      <c r="C64" s="3" t="s">
        <v>306</v>
      </c>
      <c r="E64" s="3" t="s">
        <v>307</v>
      </c>
      <c r="F64" s="3" t="s">
        <v>51</v>
      </c>
      <c r="G64" s="3" t="s">
        <v>52</v>
      </c>
      <c r="H64" s="3" t="s">
        <v>53</v>
      </c>
      <c r="I64" s="3" t="s">
        <v>308</v>
      </c>
      <c r="M64" s="8" t="n">
        <v>817945</v>
      </c>
      <c r="N64" s="8" t="n">
        <v>391834</v>
      </c>
      <c r="O64" s="9" t="n">
        <v>4.9</v>
      </c>
      <c r="P64" s="9" t="n">
        <v>77</v>
      </c>
      <c r="R64" s="9" t="n">
        <v>1</v>
      </c>
      <c r="T64" s="10" t="n">
        <v>79.5</v>
      </c>
      <c r="U64" s="9" t="n">
        <v>7</v>
      </c>
      <c r="V64" s="3" t="s">
        <v>92</v>
      </c>
      <c r="W64" s="9" t="n">
        <v>1</v>
      </c>
      <c r="Z64" s="3" t="s">
        <v>56</v>
      </c>
      <c r="AA64" s="3" t="s">
        <v>57</v>
      </c>
      <c r="AB64" s="11" t="n">
        <v>46127</v>
      </c>
    </row>
    <row r="65" customFormat="false" ht="15" hidden="false" customHeight="false" outlineLevel="0" collapsed="false">
      <c r="A65" s="3" t="s">
        <v>309</v>
      </c>
      <c r="B65" s="3" t="s">
        <v>48</v>
      </c>
      <c r="C65" s="3" t="s">
        <v>310</v>
      </c>
      <c r="E65" s="3" t="s">
        <v>311</v>
      </c>
      <c r="F65" s="3" t="s">
        <v>51</v>
      </c>
      <c r="G65" s="3" t="s">
        <v>52</v>
      </c>
      <c r="H65" s="3" t="s">
        <v>53</v>
      </c>
      <c r="I65" s="3" t="s">
        <v>312</v>
      </c>
      <c r="M65" s="8" t="n">
        <v>448157</v>
      </c>
      <c r="N65" s="8" t="n">
        <v>219144</v>
      </c>
      <c r="O65" s="9" t="n">
        <v>28.5</v>
      </c>
      <c r="P65" s="9" t="n">
        <v>47</v>
      </c>
      <c r="R65" s="9" t="n">
        <v>1</v>
      </c>
      <c r="T65" s="10" t="n">
        <v>86.3</v>
      </c>
      <c r="U65" s="9" t="n">
        <v>8</v>
      </c>
      <c r="V65" s="3" t="s">
        <v>55</v>
      </c>
      <c r="W65" s="9" t="n">
        <v>1</v>
      </c>
      <c r="Z65" s="3" t="s">
        <v>56</v>
      </c>
      <c r="AA65" s="3" t="s">
        <v>57</v>
      </c>
      <c r="AB65" s="11" t="n">
        <v>46127</v>
      </c>
    </row>
    <row r="66" customFormat="false" ht="15" hidden="false" customHeight="false" outlineLevel="0" collapsed="false">
      <c r="A66" s="3" t="s">
        <v>313</v>
      </c>
      <c r="B66" s="3" t="s">
        <v>48</v>
      </c>
      <c r="C66" s="3" t="s">
        <v>314</v>
      </c>
      <c r="E66" s="3" t="s">
        <v>315</v>
      </c>
      <c r="F66" s="3" t="s">
        <v>51</v>
      </c>
      <c r="G66" s="3" t="s">
        <v>52</v>
      </c>
      <c r="H66" s="3" t="s">
        <v>53</v>
      </c>
      <c r="I66" s="3" t="s">
        <v>316</v>
      </c>
      <c r="M66" s="8" t="n">
        <v>267518</v>
      </c>
      <c r="N66" s="8" t="n">
        <v>312893</v>
      </c>
      <c r="O66" s="9" t="n">
        <v>23.5</v>
      </c>
      <c r="P66" s="9" t="n">
        <v>59</v>
      </c>
      <c r="R66" s="9" t="n">
        <v>1</v>
      </c>
      <c r="T66" s="10" t="n">
        <v>45.6</v>
      </c>
      <c r="U66" s="9" t="n">
        <v>2</v>
      </c>
      <c r="V66" s="3" t="s">
        <v>83</v>
      </c>
      <c r="W66" s="9" t="n">
        <v>1</v>
      </c>
      <c r="Z66" s="3" t="s">
        <v>56</v>
      </c>
      <c r="AA66" s="3" t="s">
        <v>57</v>
      </c>
      <c r="AB66" s="11" t="n">
        <v>46127</v>
      </c>
    </row>
    <row r="67" customFormat="false" ht="15" hidden="false" customHeight="false" outlineLevel="0" collapsed="false">
      <c r="A67" s="3" t="s">
        <v>317</v>
      </c>
      <c r="B67" s="3" t="s">
        <v>48</v>
      </c>
      <c r="C67" s="3" t="s">
        <v>318</v>
      </c>
      <c r="E67" s="3" t="s">
        <v>319</v>
      </c>
      <c r="F67" s="3" t="s">
        <v>51</v>
      </c>
      <c r="G67" s="3" t="s">
        <v>52</v>
      </c>
      <c r="H67" s="3" t="s">
        <v>53</v>
      </c>
      <c r="I67" s="3" t="s">
        <v>320</v>
      </c>
      <c r="M67" s="8" t="n">
        <v>314883</v>
      </c>
      <c r="N67" s="8" t="n">
        <v>409548</v>
      </c>
      <c r="O67" s="9" t="n">
        <v>29.6</v>
      </c>
      <c r="P67" s="9" t="n">
        <v>75</v>
      </c>
      <c r="R67" s="9" t="n">
        <v>1</v>
      </c>
      <c r="T67" s="10" t="n">
        <v>73.2</v>
      </c>
      <c r="U67" s="9" t="n">
        <v>10</v>
      </c>
      <c r="V67" s="3" t="s">
        <v>83</v>
      </c>
      <c r="W67" s="9" t="n">
        <v>1</v>
      </c>
      <c r="Z67" s="3" t="s">
        <v>56</v>
      </c>
      <c r="AA67" s="3" t="s">
        <v>57</v>
      </c>
      <c r="AB67" s="11" t="n">
        <v>46127</v>
      </c>
    </row>
    <row r="68" customFormat="false" ht="15" hidden="false" customHeight="false" outlineLevel="0" collapsed="false">
      <c r="A68" s="3" t="s">
        <v>321</v>
      </c>
      <c r="B68" s="3" t="s">
        <v>48</v>
      </c>
      <c r="C68" s="3" t="s">
        <v>322</v>
      </c>
      <c r="E68" s="3" t="s">
        <v>323</v>
      </c>
      <c r="F68" s="3" t="s">
        <v>51</v>
      </c>
      <c r="G68" s="3" t="s">
        <v>52</v>
      </c>
      <c r="H68" s="3" t="s">
        <v>53</v>
      </c>
      <c r="I68" s="3" t="s">
        <v>324</v>
      </c>
      <c r="M68" s="8" t="n">
        <v>303520</v>
      </c>
      <c r="N68" s="8" t="n">
        <v>1055781</v>
      </c>
      <c r="O68" s="9" t="n">
        <v>12.1</v>
      </c>
      <c r="P68" s="9" t="n">
        <v>58</v>
      </c>
      <c r="R68" s="9" t="n">
        <v>1</v>
      </c>
      <c r="T68" s="10" t="n">
        <v>52.8</v>
      </c>
      <c r="U68" s="9" t="n">
        <v>4</v>
      </c>
      <c r="V68" s="3" t="s">
        <v>55</v>
      </c>
      <c r="W68" s="9" t="n">
        <v>1</v>
      </c>
      <c r="Z68" s="3" t="s">
        <v>56</v>
      </c>
      <c r="AA68" s="3" t="s">
        <v>57</v>
      </c>
      <c r="AB68" s="11" t="n">
        <v>46127</v>
      </c>
    </row>
    <row r="69" customFormat="false" ht="15" hidden="false" customHeight="false" outlineLevel="0" collapsed="false">
      <c r="A69" s="3" t="s">
        <v>325</v>
      </c>
      <c r="B69" s="3" t="s">
        <v>48</v>
      </c>
      <c r="C69" s="3" t="s">
        <v>326</v>
      </c>
      <c r="E69" s="3" t="s">
        <v>327</v>
      </c>
      <c r="F69" s="3" t="s">
        <v>51</v>
      </c>
      <c r="G69" s="3" t="s">
        <v>52</v>
      </c>
      <c r="H69" s="3" t="s">
        <v>53</v>
      </c>
      <c r="I69" s="3" t="s">
        <v>328</v>
      </c>
      <c r="M69" s="8" t="n">
        <v>182361</v>
      </c>
      <c r="N69" s="8" t="n">
        <v>224545</v>
      </c>
      <c r="O69" s="9" t="n">
        <v>11.3</v>
      </c>
      <c r="P69" s="9" t="n">
        <v>62</v>
      </c>
      <c r="R69" s="9" t="n">
        <v>1</v>
      </c>
      <c r="T69" s="10" t="n">
        <v>93.3</v>
      </c>
      <c r="U69" s="9" t="n">
        <v>6</v>
      </c>
      <c r="V69" s="3" t="s">
        <v>83</v>
      </c>
      <c r="W69" s="9" t="n">
        <v>1</v>
      </c>
      <c r="Z69" s="3" t="s">
        <v>56</v>
      </c>
      <c r="AA69" s="3" t="s">
        <v>57</v>
      </c>
      <c r="AB69" s="11" t="n">
        <v>46127</v>
      </c>
    </row>
    <row r="70" customFormat="false" ht="15" hidden="false" customHeight="false" outlineLevel="0" collapsed="false">
      <c r="A70" s="3" t="s">
        <v>329</v>
      </c>
      <c r="B70" s="3" t="s">
        <v>48</v>
      </c>
      <c r="C70" s="3" t="s">
        <v>330</v>
      </c>
      <c r="E70" s="3" t="s">
        <v>331</v>
      </c>
      <c r="F70" s="3" t="s">
        <v>51</v>
      </c>
      <c r="G70" s="3" t="s">
        <v>52</v>
      </c>
      <c r="H70" s="3" t="s">
        <v>53</v>
      </c>
      <c r="I70" s="3" t="s">
        <v>332</v>
      </c>
      <c r="M70" s="8" t="n">
        <v>540685</v>
      </c>
      <c r="N70" s="8" t="n">
        <v>273057</v>
      </c>
      <c r="O70" s="9" t="n">
        <v>17.4</v>
      </c>
      <c r="P70" s="9" t="n">
        <v>56</v>
      </c>
      <c r="R70" s="9" t="n">
        <v>1</v>
      </c>
      <c r="T70" s="10" t="n">
        <v>66.5</v>
      </c>
      <c r="U70" s="9" t="n">
        <v>3</v>
      </c>
      <c r="V70" s="3" t="s">
        <v>83</v>
      </c>
      <c r="W70" s="9" t="n">
        <v>1</v>
      </c>
      <c r="Z70" s="3" t="s">
        <v>56</v>
      </c>
      <c r="AA70" s="3" t="s">
        <v>57</v>
      </c>
      <c r="AB70" s="11" t="n">
        <v>46127</v>
      </c>
    </row>
    <row r="71" customFormat="false" ht="15" hidden="false" customHeight="false" outlineLevel="0" collapsed="false">
      <c r="A71" s="3" t="s">
        <v>333</v>
      </c>
      <c r="B71" s="3" t="s">
        <v>48</v>
      </c>
      <c r="C71" s="3" t="s">
        <v>334</v>
      </c>
      <c r="E71" s="3" t="s">
        <v>335</v>
      </c>
      <c r="F71" s="3" t="s">
        <v>51</v>
      </c>
      <c r="G71" s="3" t="s">
        <v>52</v>
      </c>
      <c r="H71" s="3" t="s">
        <v>53</v>
      </c>
      <c r="I71" s="3" t="s">
        <v>336</v>
      </c>
      <c r="M71" s="8" t="n">
        <v>74229</v>
      </c>
      <c r="N71" s="8" t="n">
        <v>172320</v>
      </c>
      <c r="O71" s="9" t="n">
        <v>14.1</v>
      </c>
      <c r="P71" s="9" t="n">
        <v>38</v>
      </c>
      <c r="R71" s="9" t="n">
        <v>1</v>
      </c>
      <c r="T71" s="10" t="n">
        <v>55.7</v>
      </c>
      <c r="U71" s="9" t="n">
        <v>8</v>
      </c>
      <c r="V71" s="3" t="s">
        <v>62</v>
      </c>
      <c r="W71" s="9" t="n">
        <v>1</v>
      </c>
      <c r="Z71" s="3" t="s">
        <v>56</v>
      </c>
      <c r="AA71" s="3" t="s">
        <v>57</v>
      </c>
      <c r="AB71" s="11" t="n">
        <v>46127</v>
      </c>
    </row>
    <row r="72" customFormat="false" ht="15" hidden="false" customHeight="false" outlineLevel="0" collapsed="false">
      <c r="A72" s="3" t="s">
        <v>337</v>
      </c>
      <c r="B72" s="3" t="s">
        <v>48</v>
      </c>
      <c r="C72" s="3" t="s">
        <v>338</v>
      </c>
      <c r="E72" s="3" t="s">
        <v>339</v>
      </c>
      <c r="F72" s="3" t="s">
        <v>51</v>
      </c>
      <c r="G72" s="3" t="s">
        <v>52</v>
      </c>
      <c r="H72" s="3" t="s">
        <v>53</v>
      </c>
      <c r="I72" s="3" t="s">
        <v>340</v>
      </c>
      <c r="M72" s="8" t="n">
        <v>756266</v>
      </c>
      <c r="N72" s="8" t="n">
        <v>862915</v>
      </c>
      <c r="O72" s="9" t="n">
        <v>11.8</v>
      </c>
      <c r="P72" s="9" t="n">
        <v>42</v>
      </c>
      <c r="R72" s="9" t="n">
        <v>1</v>
      </c>
      <c r="T72" s="10" t="n">
        <v>47.6</v>
      </c>
      <c r="U72" s="9" t="n">
        <v>2</v>
      </c>
      <c r="V72" s="3" t="s">
        <v>92</v>
      </c>
      <c r="W72" s="9" t="n">
        <v>1</v>
      </c>
      <c r="Z72" s="3" t="s">
        <v>56</v>
      </c>
      <c r="AA72" s="3" t="s">
        <v>57</v>
      </c>
      <c r="AB72" s="11" t="n">
        <v>46127</v>
      </c>
    </row>
    <row r="73" customFormat="false" ht="15" hidden="false" customHeight="false" outlineLevel="0" collapsed="false">
      <c r="A73" s="3" t="s">
        <v>341</v>
      </c>
      <c r="B73" s="3" t="s">
        <v>48</v>
      </c>
      <c r="C73" s="3" t="s">
        <v>342</v>
      </c>
      <c r="E73" s="3" t="s">
        <v>343</v>
      </c>
      <c r="F73" s="3" t="s">
        <v>51</v>
      </c>
      <c r="G73" s="3" t="s">
        <v>52</v>
      </c>
      <c r="H73" s="3" t="s">
        <v>53</v>
      </c>
      <c r="I73" s="3" t="s">
        <v>344</v>
      </c>
      <c r="M73" s="8" t="n">
        <v>176218</v>
      </c>
      <c r="N73" s="8" t="n">
        <v>690798</v>
      </c>
      <c r="O73" s="9" t="n">
        <v>4.4</v>
      </c>
      <c r="P73" s="9" t="n">
        <v>38</v>
      </c>
      <c r="R73" s="9" t="n">
        <v>1</v>
      </c>
      <c r="T73" s="10" t="n">
        <v>17.8</v>
      </c>
      <c r="U73" s="9" t="n">
        <v>7</v>
      </c>
      <c r="V73" s="3" t="s">
        <v>62</v>
      </c>
      <c r="W73" s="9" t="n">
        <v>1</v>
      </c>
      <c r="Z73" s="3" t="s">
        <v>56</v>
      </c>
      <c r="AA73" s="3" t="s">
        <v>57</v>
      </c>
      <c r="AB73" s="11" t="n">
        <v>46127</v>
      </c>
    </row>
    <row r="74" customFormat="false" ht="15" hidden="false" customHeight="false" outlineLevel="0" collapsed="false">
      <c r="A74" s="3" t="s">
        <v>345</v>
      </c>
      <c r="B74" s="3" t="s">
        <v>48</v>
      </c>
      <c r="C74" s="3" t="s">
        <v>346</v>
      </c>
      <c r="E74" s="3" t="s">
        <v>347</v>
      </c>
      <c r="F74" s="3" t="s">
        <v>51</v>
      </c>
      <c r="G74" s="3" t="s">
        <v>52</v>
      </c>
      <c r="H74" s="3" t="s">
        <v>53</v>
      </c>
      <c r="I74" s="3" t="s">
        <v>348</v>
      </c>
      <c r="M74" s="8" t="n">
        <v>433551</v>
      </c>
      <c r="N74" s="8" t="n">
        <v>228818</v>
      </c>
      <c r="O74" s="9" t="n">
        <v>29.7</v>
      </c>
      <c r="P74" s="9" t="n">
        <v>40</v>
      </c>
      <c r="R74" s="9" t="n">
        <v>1</v>
      </c>
      <c r="T74" s="10" t="n">
        <v>44.7</v>
      </c>
      <c r="U74" s="9" t="n">
        <v>1</v>
      </c>
      <c r="V74" s="3" t="s">
        <v>83</v>
      </c>
      <c r="W74" s="9" t="n">
        <v>1</v>
      </c>
      <c r="Z74" s="3" t="s">
        <v>56</v>
      </c>
      <c r="AA74" s="3" t="s">
        <v>57</v>
      </c>
      <c r="AB74" s="11" t="n">
        <v>46127</v>
      </c>
    </row>
    <row r="75" customFormat="false" ht="15" hidden="false" customHeight="false" outlineLevel="0" collapsed="false">
      <c r="A75" s="3" t="s">
        <v>349</v>
      </c>
      <c r="B75" s="3" t="s">
        <v>48</v>
      </c>
      <c r="C75" s="3" t="s">
        <v>350</v>
      </c>
      <c r="E75" s="3" t="s">
        <v>351</v>
      </c>
      <c r="F75" s="3" t="s">
        <v>51</v>
      </c>
      <c r="G75" s="3" t="s">
        <v>52</v>
      </c>
      <c r="H75" s="3" t="s">
        <v>53</v>
      </c>
      <c r="I75" s="3" t="s">
        <v>352</v>
      </c>
      <c r="M75" s="8" t="n">
        <v>844904</v>
      </c>
      <c r="N75" s="8" t="n">
        <v>682875</v>
      </c>
      <c r="O75" s="9" t="n">
        <v>27.2</v>
      </c>
      <c r="P75" s="9" t="n">
        <v>46</v>
      </c>
      <c r="R75" s="9" t="n">
        <v>1</v>
      </c>
      <c r="T75" s="10" t="n">
        <v>58.5</v>
      </c>
      <c r="U75" s="9" t="n">
        <v>4</v>
      </c>
      <c r="V75" s="3" t="s">
        <v>83</v>
      </c>
      <c r="W75" s="9" t="n">
        <v>1</v>
      </c>
      <c r="Z75" s="3" t="s">
        <v>56</v>
      </c>
      <c r="AA75" s="3" t="s">
        <v>57</v>
      </c>
      <c r="AB75" s="11" t="n">
        <v>46127</v>
      </c>
    </row>
    <row r="76" customFormat="false" ht="15" hidden="false" customHeight="false" outlineLevel="0" collapsed="false">
      <c r="A76" s="3" t="s">
        <v>353</v>
      </c>
      <c r="B76" s="3" t="s">
        <v>48</v>
      </c>
      <c r="C76" s="3" t="s">
        <v>354</v>
      </c>
      <c r="E76" s="3" t="s">
        <v>355</v>
      </c>
      <c r="F76" s="3" t="s">
        <v>51</v>
      </c>
      <c r="G76" s="3" t="s">
        <v>52</v>
      </c>
      <c r="H76" s="3" t="s">
        <v>53</v>
      </c>
      <c r="I76" s="3" t="s">
        <v>356</v>
      </c>
      <c r="M76" s="8" t="n">
        <v>376097</v>
      </c>
      <c r="N76" s="8" t="n">
        <v>178620</v>
      </c>
      <c r="O76" s="9" t="n">
        <v>12.6</v>
      </c>
      <c r="P76" s="9" t="n">
        <v>57</v>
      </c>
      <c r="R76" s="9" t="n">
        <v>1</v>
      </c>
      <c r="T76" s="10" t="n">
        <v>68.4</v>
      </c>
      <c r="U76" s="9" t="n">
        <v>6</v>
      </c>
      <c r="V76" s="3" t="s">
        <v>55</v>
      </c>
      <c r="W76" s="9" t="n">
        <v>1</v>
      </c>
      <c r="Z76" s="3" t="s">
        <v>56</v>
      </c>
      <c r="AA76" s="3" t="s">
        <v>57</v>
      </c>
      <c r="AB76" s="11" t="n">
        <v>46127</v>
      </c>
    </row>
    <row r="77" customFormat="false" ht="15" hidden="false" customHeight="false" outlineLevel="0" collapsed="false">
      <c r="A77" s="3" t="s">
        <v>357</v>
      </c>
      <c r="B77" s="3" t="s">
        <v>48</v>
      </c>
      <c r="C77" s="3" t="s">
        <v>358</v>
      </c>
      <c r="E77" s="3" t="s">
        <v>359</v>
      </c>
      <c r="F77" s="3" t="s">
        <v>51</v>
      </c>
      <c r="G77" s="3" t="s">
        <v>52</v>
      </c>
      <c r="H77" s="3" t="s">
        <v>53</v>
      </c>
      <c r="I77" s="3" t="s">
        <v>360</v>
      </c>
      <c r="M77" s="8" t="n">
        <v>235349</v>
      </c>
      <c r="N77" s="8" t="n">
        <v>133682</v>
      </c>
      <c r="O77" s="9" t="n">
        <v>10.3</v>
      </c>
      <c r="P77" s="9" t="n">
        <v>67</v>
      </c>
      <c r="R77" s="9" t="n">
        <v>1</v>
      </c>
      <c r="T77" s="10" t="n">
        <v>61.4</v>
      </c>
      <c r="U77" s="9" t="n">
        <v>1</v>
      </c>
      <c r="V77" s="3" t="s">
        <v>55</v>
      </c>
      <c r="W77" s="9" t="n">
        <v>1</v>
      </c>
      <c r="Z77" s="3" t="s">
        <v>56</v>
      </c>
      <c r="AA77" s="3" t="s">
        <v>57</v>
      </c>
      <c r="AB77" s="11" t="n">
        <v>46127</v>
      </c>
    </row>
    <row r="78" customFormat="false" ht="15" hidden="false" customHeight="false" outlineLevel="0" collapsed="false">
      <c r="A78" s="3" t="s">
        <v>361</v>
      </c>
      <c r="B78" s="3" t="s">
        <v>48</v>
      </c>
      <c r="C78" s="3" t="s">
        <v>362</v>
      </c>
      <c r="E78" s="3" t="s">
        <v>363</v>
      </c>
      <c r="F78" s="3" t="s">
        <v>51</v>
      </c>
      <c r="G78" s="3" t="s">
        <v>52</v>
      </c>
      <c r="H78" s="3" t="s">
        <v>53</v>
      </c>
      <c r="I78" s="3" t="s">
        <v>364</v>
      </c>
      <c r="M78" s="8" t="n">
        <v>1870856</v>
      </c>
      <c r="N78" s="8" t="n">
        <v>336843</v>
      </c>
      <c r="O78" s="9" t="n">
        <v>19.6</v>
      </c>
      <c r="P78" s="9" t="n">
        <v>53</v>
      </c>
      <c r="R78" s="9" t="n">
        <v>1</v>
      </c>
      <c r="T78" s="10" t="n">
        <v>79.8</v>
      </c>
      <c r="U78" s="9" t="n">
        <v>9</v>
      </c>
      <c r="V78" s="3" t="s">
        <v>83</v>
      </c>
      <c r="W78" s="9" t="n">
        <v>1</v>
      </c>
      <c r="Z78" s="3" t="s">
        <v>56</v>
      </c>
      <c r="AA78" s="3" t="s">
        <v>57</v>
      </c>
      <c r="AB78" s="11" t="n">
        <v>46127</v>
      </c>
    </row>
    <row r="79" customFormat="false" ht="15" hidden="false" customHeight="false" outlineLevel="0" collapsed="false">
      <c r="A79" s="3" t="s">
        <v>365</v>
      </c>
      <c r="B79" s="3" t="s">
        <v>48</v>
      </c>
      <c r="C79" s="3" t="s">
        <v>366</v>
      </c>
      <c r="E79" s="3" t="s">
        <v>367</v>
      </c>
      <c r="F79" s="3" t="s">
        <v>51</v>
      </c>
      <c r="G79" s="3" t="s">
        <v>52</v>
      </c>
      <c r="H79" s="3" t="s">
        <v>53</v>
      </c>
      <c r="I79" s="3" t="s">
        <v>368</v>
      </c>
      <c r="M79" s="8" t="n">
        <v>1171566</v>
      </c>
      <c r="N79" s="8" t="n">
        <v>188427</v>
      </c>
      <c r="O79" s="9" t="n">
        <v>15.8</v>
      </c>
      <c r="P79" s="9" t="n">
        <v>61</v>
      </c>
      <c r="R79" s="9" t="n">
        <v>1</v>
      </c>
      <c r="T79" s="10" t="n">
        <v>30.6</v>
      </c>
      <c r="U79" s="9" t="n">
        <v>9</v>
      </c>
      <c r="V79" s="3" t="s">
        <v>55</v>
      </c>
      <c r="W79" s="9" t="n">
        <v>1</v>
      </c>
      <c r="Z79" s="3" t="s">
        <v>56</v>
      </c>
      <c r="AA79" s="3" t="s">
        <v>57</v>
      </c>
      <c r="AB79" s="11" t="n">
        <v>46127</v>
      </c>
    </row>
    <row r="80" customFormat="false" ht="15" hidden="false" customHeight="false" outlineLevel="0" collapsed="false">
      <c r="A80" s="3" t="s">
        <v>369</v>
      </c>
      <c r="B80" s="3" t="s">
        <v>48</v>
      </c>
      <c r="C80" s="3" t="s">
        <v>370</v>
      </c>
      <c r="E80" s="3" t="s">
        <v>371</v>
      </c>
      <c r="F80" s="3" t="s">
        <v>51</v>
      </c>
      <c r="G80" s="3" t="s">
        <v>52</v>
      </c>
      <c r="H80" s="3" t="s">
        <v>53</v>
      </c>
      <c r="I80" s="3" t="s">
        <v>372</v>
      </c>
      <c r="M80" s="8" t="n">
        <v>231827</v>
      </c>
      <c r="N80" s="8" t="n">
        <v>523603</v>
      </c>
      <c r="O80" s="9" t="n">
        <v>14.5</v>
      </c>
      <c r="P80" s="9" t="n">
        <v>35</v>
      </c>
      <c r="R80" s="9" t="n">
        <v>1</v>
      </c>
      <c r="T80" s="10" t="n">
        <v>91.3</v>
      </c>
      <c r="U80" s="9" t="n">
        <v>10</v>
      </c>
      <c r="V80" s="3" t="s">
        <v>55</v>
      </c>
      <c r="W80" s="9" t="n">
        <v>1</v>
      </c>
      <c r="Z80" s="3" t="s">
        <v>56</v>
      </c>
      <c r="AA80" s="3" t="s">
        <v>57</v>
      </c>
      <c r="AB80" s="11" t="n">
        <v>46127</v>
      </c>
    </row>
    <row r="81" customFormat="false" ht="15" hidden="false" customHeight="false" outlineLevel="0" collapsed="false">
      <c r="A81" s="3" t="s">
        <v>373</v>
      </c>
      <c r="B81" s="3" t="s">
        <v>48</v>
      </c>
      <c r="C81" s="3" t="s">
        <v>374</v>
      </c>
      <c r="E81" s="3" t="s">
        <v>375</v>
      </c>
      <c r="F81" s="3" t="s">
        <v>51</v>
      </c>
      <c r="G81" s="3" t="s">
        <v>52</v>
      </c>
      <c r="H81" s="3" t="s">
        <v>53</v>
      </c>
      <c r="I81" s="3" t="s">
        <v>376</v>
      </c>
      <c r="M81" s="8" t="n">
        <v>256430</v>
      </c>
      <c r="N81" s="8" t="n">
        <v>149048</v>
      </c>
      <c r="O81" s="9" t="n">
        <v>29.7</v>
      </c>
      <c r="P81" s="9" t="n">
        <v>76</v>
      </c>
      <c r="R81" s="9" t="n">
        <v>1</v>
      </c>
      <c r="T81" s="10" t="n">
        <v>50</v>
      </c>
      <c r="U81" s="9" t="n">
        <v>7</v>
      </c>
      <c r="V81" s="3" t="s">
        <v>83</v>
      </c>
      <c r="W81" s="9" t="n">
        <v>1</v>
      </c>
      <c r="Z81" s="3" t="s">
        <v>56</v>
      </c>
      <c r="AA81" s="3" t="s">
        <v>57</v>
      </c>
      <c r="AB81" s="11" t="n">
        <v>46127</v>
      </c>
    </row>
    <row r="82" customFormat="false" ht="15" hidden="false" customHeight="false" outlineLevel="0" collapsed="false">
      <c r="A82" s="3" t="s">
        <v>377</v>
      </c>
      <c r="B82" s="3" t="s">
        <v>378</v>
      </c>
      <c r="C82" s="3" t="s">
        <v>49</v>
      </c>
      <c r="D82" s="3" t="s">
        <v>379</v>
      </c>
      <c r="E82" s="3" t="s">
        <v>380</v>
      </c>
      <c r="F82" s="3" t="s">
        <v>51</v>
      </c>
      <c r="G82" s="3" t="s">
        <v>52</v>
      </c>
      <c r="H82" s="3" t="s">
        <v>53</v>
      </c>
      <c r="I82" s="3" t="s">
        <v>381</v>
      </c>
      <c r="M82" s="8" t="n">
        <v>304109</v>
      </c>
      <c r="P82" s="9" t="n">
        <v>66</v>
      </c>
      <c r="Q82" s="9" t="n">
        <v>14.7</v>
      </c>
      <c r="R82" s="9" t="n">
        <v>1</v>
      </c>
      <c r="S82" s="8" t="n">
        <v>781281</v>
      </c>
      <c r="T82" s="10" t="n">
        <v>65.2</v>
      </c>
      <c r="U82" s="9" t="n">
        <v>3</v>
      </c>
      <c r="V82" s="3" t="s">
        <v>55</v>
      </c>
      <c r="W82" s="9" t="n">
        <v>1</v>
      </c>
      <c r="Z82" s="3" t="s">
        <v>56</v>
      </c>
      <c r="AA82" s="3" t="s">
        <v>382</v>
      </c>
      <c r="AB82" s="11" t="n">
        <v>46127</v>
      </c>
    </row>
    <row r="83" customFormat="false" ht="15" hidden="false" customHeight="false" outlineLevel="0" collapsed="false">
      <c r="A83" s="3" t="s">
        <v>383</v>
      </c>
      <c r="B83" s="3" t="s">
        <v>378</v>
      </c>
      <c r="C83" s="3" t="s">
        <v>59</v>
      </c>
      <c r="D83" s="3" t="s">
        <v>384</v>
      </c>
      <c r="E83" s="3" t="s">
        <v>385</v>
      </c>
      <c r="F83" s="3" t="s">
        <v>51</v>
      </c>
      <c r="G83" s="3" t="s">
        <v>52</v>
      </c>
      <c r="H83" s="3" t="s">
        <v>53</v>
      </c>
      <c r="I83" s="3" t="s">
        <v>386</v>
      </c>
      <c r="M83" s="8" t="n">
        <v>287780</v>
      </c>
      <c r="P83" s="9" t="n">
        <v>58</v>
      </c>
      <c r="Q83" s="9" t="n">
        <v>5.6</v>
      </c>
      <c r="R83" s="9" t="n">
        <v>1</v>
      </c>
      <c r="S83" s="8" t="n">
        <v>362921</v>
      </c>
      <c r="T83" s="10" t="n">
        <v>75.9</v>
      </c>
      <c r="U83" s="9" t="n">
        <v>9</v>
      </c>
      <c r="V83" s="3" t="s">
        <v>55</v>
      </c>
      <c r="W83" s="9" t="n">
        <v>1</v>
      </c>
      <c r="Z83" s="3" t="s">
        <v>56</v>
      </c>
      <c r="AA83" s="3" t="s">
        <v>382</v>
      </c>
      <c r="AB83" s="11" t="n">
        <v>46127</v>
      </c>
    </row>
    <row r="84" customFormat="false" ht="15" hidden="false" customHeight="false" outlineLevel="0" collapsed="false">
      <c r="A84" s="3" t="s">
        <v>387</v>
      </c>
      <c r="B84" s="3" t="s">
        <v>378</v>
      </c>
      <c r="C84" s="3" t="s">
        <v>64</v>
      </c>
      <c r="D84" s="3" t="s">
        <v>379</v>
      </c>
      <c r="E84" s="3" t="s">
        <v>388</v>
      </c>
      <c r="F84" s="3" t="s">
        <v>51</v>
      </c>
      <c r="G84" s="3" t="s">
        <v>52</v>
      </c>
      <c r="H84" s="3" t="s">
        <v>53</v>
      </c>
      <c r="I84" s="3" t="s">
        <v>389</v>
      </c>
      <c r="M84" s="8" t="n">
        <v>606844</v>
      </c>
      <c r="P84" s="9" t="n">
        <v>53</v>
      </c>
      <c r="Q84" s="9" t="n">
        <v>21.5</v>
      </c>
      <c r="R84" s="9" t="n">
        <v>1</v>
      </c>
      <c r="S84" s="8" t="n">
        <v>398233</v>
      </c>
      <c r="T84" s="10" t="n">
        <v>46.7</v>
      </c>
      <c r="U84" s="9" t="n">
        <v>1</v>
      </c>
      <c r="V84" s="3" t="s">
        <v>83</v>
      </c>
      <c r="W84" s="9" t="n">
        <v>1</v>
      </c>
      <c r="Z84" s="3" t="s">
        <v>56</v>
      </c>
      <c r="AA84" s="3" t="s">
        <v>382</v>
      </c>
      <c r="AB84" s="11" t="n">
        <v>46127</v>
      </c>
    </row>
    <row r="85" customFormat="false" ht="15" hidden="false" customHeight="false" outlineLevel="0" collapsed="false">
      <c r="A85" s="3" t="s">
        <v>390</v>
      </c>
      <c r="B85" s="3" t="s">
        <v>378</v>
      </c>
      <c r="C85" s="3" t="s">
        <v>68</v>
      </c>
      <c r="D85" s="3" t="s">
        <v>391</v>
      </c>
      <c r="E85" s="3" t="s">
        <v>392</v>
      </c>
      <c r="F85" s="3" t="s">
        <v>51</v>
      </c>
      <c r="G85" s="3" t="s">
        <v>52</v>
      </c>
      <c r="H85" s="3" t="s">
        <v>53</v>
      </c>
      <c r="I85" s="3" t="s">
        <v>393</v>
      </c>
      <c r="M85" s="8" t="n">
        <v>548489</v>
      </c>
      <c r="P85" s="9" t="n">
        <v>43</v>
      </c>
      <c r="Q85" s="9" t="n">
        <v>11.6</v>
      </c>
      <c r="R85" s="9" t="n">
        <v>3</v>
      </c>
      <c r="S85" s="8" t="n">
        <v>467824</v>
      </c>
      <c r="T85" s="10" t="n">
        <v>54.9</v>
      </c>
      <c r="U85" s="9" t="n">
        <v>5</v>
      </c>
      <c r="V85" s="3" t="s">
        <v>55</v>
      </c>
      <c r="W85" s="9" t="n">
        <v>1</v>
      </c>
      <c r="Z85" s="3" t="s">
        <v>56</v>
      </c>
      <c r="AA85" s="3" t="s">
        <v>382</v>
      </c>
      <c r="AB85" s="11" t="n">
        <v>46127</v>
      </c>
    </row>
    <row r="86" customFormat="false" ht="15" hidden="false" customHeight="false" outlineLevel="0" collapsed="false">
      <c r="A86" s="3" t="s">
        <v>394</v>
      </c>
      <c r="B86" s="3" t="s">
        <v>378</v>
      </c>
      <c r="C86" s="3" t="s">
        <v>72</v>
      </c>
      <c r="D86" s="3" t="s">
        <v>391</v>
      </c>
      <c r="E86" s="3" t="s">
        <v>395</v>
      </c>
      <c r="F86" s="3" t="s">
        <v>51</v>
      </c>
      <c r="G86" s="3" t="s">
        <v>52</v>
      </c>
      <c r="H86" s="3" t="s">
        <v>53</v>
      </c>
      <c r="I86" s="3" t="s">
        <v>396</v>
      </c>
      <c r="M86" s="8" t="n">
        <v>442583</v>
      </c>
      <c r="P86" s="9" t="n">
        <v>63</v>
      </c>
      <c r="Q86" s="9" t="n">
        <v>7.5</v>
      </c>
      <c r="R86" s="9" t="n">
        <v>3</v>
      </c>
      <c r="S86" s="8" t="n">
        <v>303417</v>
      </c>
      <c r="T86" s="10" t="n">
        <v>86.2</v>
      </c>
      <c r="U86" s="9" t="n">
        <v>5</v>
      </c>
      <c r="V86" s="3" t="s">
        <v>83</v>
      </c>
      <c r="W86" s="9" t="n">
        <v>1</v>
      </c>
      <c r="Z86" s="3" t="s">
        <v>56</v>
      </c>
      <c r="AA86" s="3" t="s">
        <v>382</v>
      </c>
      <c r="AB86" s="11" t="n">
        <v>46127</v>
      </c>
    </row>
    <row r="87" customFormat="false" ht="15" hidden="false" customHeight="false" outlineLevel="0" collapsed="false">
      <c r="A87" s="3" t="s">
        <v>397</v>
      </c>
      <c r="B87" s="3" t="s">
        <v>378</v>
      </c>
      <c r="C87" s="3" t="s">
        <v>76</v>
      </c>
      <c r="D87" s="3" t="s">
        <v>384</v>
      </c>
      <c r="E87" s="3" t="s">
        <v>398</v>
      </c>
      <c r="F87" s="3" t="s">
        <v>51</v>
      </c>
      <c r="G87" s="3" t="s">
        <v>52</v>
      </c>
      <c r="H87" s="3" t="s">
        <v>53</v>
      </c>
      <c r="I87" s="3" t="s">
        <v>399</v>
      </c>
      <c r="M87" s="8" t="n">
        <v>426078</v>
      </c>
      <c r="P87" s="9" t="n">
        <v>57</v>
      </c>
      <c r="Q87" s="9" t="n">
        <v>17.1</v>
      </c>
      <c r="R87" s="9" t="n">
        <v>1</v>
      </c>
      <c r="S87" s="8" t="n">
        <v>714596</v>
      </c>
      <c r="T87" s="10" t="n">
        <v>84.4</v>
      </c>
      <c r="U87" s="9" t="n">
        <v>9</v>
      </c>
      <c r="V87" s="3" t="s">
        <v>55</v>
      </c>
      <c r="W87" s="9" t="n">
        <v>1</v>
      </c>
      <c r="Z87" s="3" t="s">
        <v>56</v>
      </c>
      <c r="AA87" s="3" t="s">
        <v>382</v>
      </c>
      <c r="AB87" s="11" t="n">
        <v>46127</v>
      </c>
    </row>
    <row r="88" customFormat="false" ht="15" hidden="false" customHeight="false" outlineLevel="0" collapsed="false">
      <c r="A88" s="3" t="s">
        <v>400</v>
      </c>
      <c r="B88" s="3" t="s">
        <v>378</v>
      </c>
      <c r="C88" s="3" t="s">
        <v>80</v>
      </c>
      <c r="D88" s="3" t="s">
        <v>379</v>
      </c>
      <c r="E88" s="3" t="s">
        <v>401</v>
      </c>
      <c r="F88" s="3" t="s">
        <v>51</v>
      </c>
      <c r="G88" s="3" t="s">
        <v>52</v>
      </c>
      <c r="H88" s="3" t="s">
        <v>53</v>
      </c>
      <c r="I88" s="3" t="s">
        <v>402</v>
      </c>
      <c r="M88" s="8" t="n">
        <v>410042</v>
      </c>
      <c r="P88" s="9" t="n">
        <v>48</v>
      </c>
      <c r="Q88" s="9" t="n">
        <v>9.8</v>
      </c>
      <c r="R88" s="9" t="n">
        <v>1</v>
      </c>
      <c r="S88" s="8" t="n">
        <v>276718</v>
      </c>
      <c r="T88" s="10" t="n">
        <v>19.4</v>
      </c>
      <c r="U88" s="9" t="n">
        <v>4</v>
      </c>
      <c r="V88" s="3" t="s">
        <v>62</v>
      </c>
      <c r="W88" s="9" t="n">
        <v>1</v>
      </c>
      <c r="Z88" s="3" t="s">
        <v>56</v>
      </c>
      <c r="AA88" s="3" t="s">
        <v>382</v>
      </c>
      <c r="AB88" s="11" t="n">
        <v>46127</v>
      </c>
    </row>
    <row r="89" customFormat="false" ht="15" hidden="false" customHeight="false" outlineLevel="0" collapsed="false">
      <c r="A89" s="3" t="s">
        <v>403</v>
      </c>
      <c r="B89" s="3" t="s">
        <v>378</v>
      </c>
      <c r="C89" s="3" t="s">
        <v>85</v>
      </c>
      <c r="D89" s="3" t="s">
        <v>379</v>
      </c>
      <c r="E89" s="3" t="s">
        <v>404</v>
      </c>
      <c r="F89" s="3" t="s">
        <v>51</v>
      </c>
      <c r="G89" s="3" t="s">
        <v>52</v>
      </c>
      <c r="H89" s="3" t="s">
        <v>53</v>
      </c>
      <c r="I89" s="3" t="s">
        <v>405</v>
      </c>
      <c r="M89" s="8" t="n">
        <v>749354</v>
      </c>
      <c r="P89" s="9" t="n">
        <v>44</v>
      </c>
      <c r="Q89" s="9" t="n">
        <v>4.7</v>
      </c>
      <c r="R89" s="9" t="n">
        <v>1</v>
      </c>
      <c r="S89" s="8" t="n">
        <v>312500</v>
      </c>
      <c r="T89" s="10" t="n">
        <v>19.4</v>
      </c>
      <c r="U89" s="9" t="n">
        <v>6</v>
      </c>
      <c r="V89" s="3" t="s">
        <v>55</v>
      </c>
      <c r="W89" s="9" t="n">
        <v>1</v>
      </c>
      <c r="Z89" s="3" t="s">
        <v>56</v>
      </c>
      <c r="AA89" s="3" t="s">
        <v>382</v>
      </c>
      <c r="AB89" s="11" t="n">
        <v>46127</v>
      </c>
    </row>
    <row r="90" customFormat="false" ht="15" hidden="false" customHeight="false" outlineLevel="0" collapsed="false">
      <c r="A90" s="3" t="s">
        <v>406</v>
      </c>
      <c r="B90" s="3" t="s">
        <v>378</v>
      </c>
      <c r="C90" s="3" t="s">
        <v>89</v>
      </c>
      <c r="D90" s="3" t="s">
        <v>391</v>
      </c>
      <c r="E90" s="3" t="s">
        <v>407</v>
      </c>
      <c r="F90" s="3" t="s">
        <v>51</v>
      </c>
      <c r="G90" s="3" t="s">
        <v>52</v>
      </c>
      <c r="H90" s="3" t="s">
        <v>53</v>
      </c>
      <c r="I90" s="3" t="s">
        <v>408</v>
      </c>
      <c r="M90" s="8" t="n">
        <v>180079</v>
      </c>
      <c r="P90" s="9" t="n">
        <v>36</v>
      </c>
      <c r="Q90" s="9" t="n">
        <v>18.2</v>
      </c>
      <c r="R90" s="9" t="n">
        <v>1</v>
      </c>
      <c r="S90" s="8" t="n">
        <v>1044797</v>
      </c>
      <c r="T90" s="10" t="n">
        <v>69.7</v>
      </c>
      <c r="U90" s="9" t="n">
        <v>10</v>
      </c>
      <c r="V90" s="3" t="s">
        <v>55</v>
      </c>
      <c r="W90" s="9" t="n">
        <v>1</v>
      </c>
      <c r="Z90" s="3" t="s">
        <v>56</v>
      </c>
      <c r="AA90" s="3" t="s">
        <v>382</v>
      </c>
      <c r="AB90" s="11" t="n">
        <v>46127</v>
      </c>
    </row>
    <row r="91" customFormat="false" ht="15" hidden="false" customHeight="false" outlineLevel="0" collapsed="false">
      <c r="A91" s="3" t="s">
        <v>409</v>
      </c>
      <c r="B91" s="3" t="s">
        <v>378</v>
      </c>
      <c r="C91" s="3" t="s">
        <v>94</v>
      </c>
      <c r="D91" s="3" t="s">
        <v>384</v>
      </c>
      <c r="E91" s="3" t="s">
        <v>410</v>
      </c>
      <c r="F91" s="3" t="s">
        <v>51</v>
      </c>
      <c r="G91" s="3" t="s">
        <v>52</v>
      </c>
      <c r="H91" s="3" t="s">
        <v>53</v>
      </c>
      <c r="I91" s="3" t="s">
        <v>411</v>
      </c>
      <c r="M91" s="8" t="n">
        <v>131024</v>
      </c>
      <c r="P91" s="9" t="n">
        <v>58</v>
      </c>
      <c r="Q91" s="9" t="n">
        <v>17.5</v>
      </c>
      <c r="R91" s="9" t="n">
        <v>1</v>
      </c>
      <c r="S91" s="8" t="n">
        <v>258041</v>
      </c>
      <c r="T91" s="10" t="n">
        <v>63.3</v>
      </c>
      <c r="U91" s="9" t="n">
        <v>6</v>
      </c>
      <c r="V91" s="3" t="s">
        <v>83</v>
      </c>
      <c r="W91" s="9" t="n">
        <v>1</v>
      </c>
      <c r="Z91" s="3" t="s">
        <v>56</v>
      </c>
      <c r="AA91" s="3" t="s">
        <v>382</v>
      </c>
      <c r="AB91" s="11" t="n">
        <v>46127</v>
      </c>
    </row>
    <row r="92" customFormat="false" ht="15" hidden="false" customHeight="false" outlineLevel="0" collapsed="false">
      <c r="A92" s="3" t="s">
        <v>412</v>
      </c>
      <c r="B92" s="3" t="s">
        <v>378</v>
      </c>
      <c r="C92" s="3" t="s">
        <v>98</v>
      </c>
      <c r="D92" s="3" t="s">
        <v>379</v>
      </c>
      <c r="E92" s="3" t="s">
        <v>413</v>
      </c>
      <c r="F92" s="3" t="s">
        <v>51</v>
      </c>
      <c r="G92" s="3" t="s">
        <v>52</v>
      </c>
      <c r="H92" s="3" t="s">
        <v>53</v>
      </c>
      <c r="I92" s="3" t="s">
        <v>414</v>
      </c>
      <c r="M92" s="8" t="n">
        <v>302359</v>
      </c>
      <c r="P92" s="9" t="n">
        <v>67</v>
      </c>
      <c r="Q92" s="9" t="n">
        <v>28.8</v>
      </c>
      <c r="R92" s="9" t="n">
        <v>1</v>
      </c>
      <c r="S92" s="8" t="n">
        <v>439703</v>
      </c>
      <c r="T92" s="10" t="n">
        <v>30.9</v>
      </c>
      <c r="U92" s="9" t="n">
        <v>8</v>
      </c>
      <c r="V92" s="3" t="s">
        <v>92</v>
      </c>
      <c r="W92" s="9" t="n">
        <v>1</v>
      </c>
      <c r="Z92" s="3" t="s">
        <v>56</v>
      </c>
      <c r="AA92" s="3" t="s">
        <v>382</v>
      </c>
      <c r="AB92" s="11" t="n">
        <v>46127</v>
      </c>
    </row>
    <row r="93" customFormat="false" ht="15" hidden="false" customHeight="false" outlineLevel="0" collapsed="false">
      <c r="A93" s="3" t="s">
        <v>415</v>
      </c>
      <c r="B93" s="3" t="s">
        <v>378</v>
      </c>
      <c r="C93" s="3" t="s">
        <v>102</v>
      </c>
      <c r="D93" s="3" t="s">
        <v>379</v>
      </c>
      <c r="E93" s="3" t="s">
        <v>416</v>
      </c>
      <c r="F93" s="3" t="s">
        <v>51</v>
      </c>
      <c r="G93" s="3" t="s">
        <v>52</v>
      </c>
      <c r="H93" s="3" t="s">
        <v>53</v>
      </c>
      <c r="I93" s="3" t="s">
        <v>417</v>
      </c>
      <c r="M93" s="8" t="n">
        <v>756040</v>
      </c>
      <c r="P93" s="9" t="n">
        <v>64</v>
      </c>
      <c r="Q93" s="9" t="n">
        <v>10.9</v>
      </c>
      <c r="R93" s="9" t="n">
        <v>2</v>
      </c>
      <c r="S93" s="8" t="n">
        <v>1860348</v>
      </c>
      <c r="T93" s="10" t="n">
        <v>83.2</v>
      </c>
      <c r="U93" s="9" t="n">
        <v>5</v>
      </c>
      <c r="V93" s="3" t="s">
        <v>62</v>
      </c>
      <c r="W93" s="9" t="n">
        <v>1</v>
      </c>
      <c r="Z93" s="3" t="s">
        <v>56</v>
      </c>
      <c r="AA93" s="3" t="s">
        <v>382</v>
      </c>
      <c r="AB93" s="11" t="n">
        <v>46127</v>
      </c>
    </row>
    <row r="94" customFormat="false" ht="15" hidden="false" customHeight="false" outlineLevel="0" collapsed="false">
      <c r="A94" s="3" t="s">
        <v>418</v>
      </c>
      <c r="B94" s="3" t="s">
        <v>378</v>
      </c>
      <c r="C94" s="3" t="s">
        <v>106</v>
      </c>
      <c r="D94" s="3" t="s">
        <v>384</v>
      </c>
      <c r="E94" s="3" t="s">
        <v>419</v>
      </c>
      <c r="F94" s="3" t="s">
        <v>51</v>
      </c>
      <c r="G94" s="3" t="s">
        <v>52</v>
      </c>
      <c r="H94" s="3" t="s">
        <v>53</v>
      </c>
      <c r="I94" s="3" t="s">
        <v>420</v>
      </c>
      <c r="M94" s="8" t="n">
        <v>487534</v>
      </c>
      <c r="P94" s="9" t="n">
        <v>38</v>
      </c>
      <c r="Q94" s="9" t="n">
        <v>11.6</v>
      </c>
      <c r="R94" s="9" t="n">
        <v>3</v>
      </c>
      <c r="S94" s="8" t="n">
        <v>404553</v>
      </c>
      <c r="T94" s="10" t="n">
        <v>92.9</v>
      </c>
      <c r="U94" s="9" t="n">
        <v>8</v>
      </c>
      <c r="V94" s="3" t="s">
        <v>92</v>
      </c>
      <c r="W94" s="9" t="n">
        <v>1</v>
      </c>
      <c r="Z94" s="3" t="s">
        <v>56</v>
      </c>
      <c r="AA94" s="3" t="s">
        <v>382</v>
      </c>
      <c r="AB94" s="11" t="n">
        <v>46127</v>
      </c>
    </row>
    <row r="95" customFormat="false" ht="15" hidden="false" customHeight="false" outlineLevel="0" collapsed="false">
      <c r="A95" s="3" t="s">
        <v>421</v>
      </c>
      <c r="B95" s="3" t="s">
        <v>378</v>
      </c>
      <c r="C95" s="3" t="s">
        <v>110</v>
      </c>
      <c r="D95" s="3" t="s">
        <v>391</v>
      </c>
      <c r="E95" s="3" t="s">
        <v>422</v>
      </c>
      <c r="F95" s="3" t="s">
        <v>51</v>
      </c>
      <c r="G95" s="3" t="s">
        <v>52</v>
      </c>
      <c r="H95" s="3" t="s">
        <v>53</v>
      </c>
      <c r="I95" s="3" t="s">
        <v>423</v>
      </c>
      <c r="M95" s="8" t="n">
        <v>807689</v>
      </c>
      <c r="P95" s="9" t="n">
        <v>49</v>
      </c>
      <c r="Q95" s="9" t="n">
        <v>9.8</v>
      </c>
      <c r="R95" s="9" t="n">
        <v>1</v>
      </c>
      <c r="S95" s="8" t="n">
        <v>549585</v>
      </c>
      <c r="T95" s="10" t="n">
        <v>84</v>
      </c>
      <c r="U95" s="9" t="n">
        <v>8</v>
      </c>
      <c r="V95" s="3" t="s">
        <v>55</v>
      </c>
      <c r="W95" s="9" t="n">
        <v>1</v>
      </c>
      <c r="Z95" s="3" t="s">
        <v>56</v>
      </c>
      <c r="AA95" s="3" t="s">
        <v>382</v>
      </c>
      <c r="AB95" s="11" t="n">
        <v>46127</v>
      </c>
    </row>
    <row r="96" customFormat="false" ht="15" hidden="false" customHeight="false" outlineLevel="0" collapsed="false">
      <c r="A96" s="3" t="s">
        <v>424</v>
      </c>
      <c r="B96" s="3" t="s">
        <v>378</v>
      </c>
      <c r="C96" s="3" t="s">
        <v>114</v>
      </c>
      <c r="D96" s="3" t="s">
        <v>384</v>
      </c>
      <c r="E96" s="3" t="s">
        <v>425</v>
      </c>
      <c r="F96" s="3" t="s">
        <v>51</v>
      </c>
      <c r="G96" s="3" t="s">
        <v>52</v>
      </c>
      <c r="H96" s="3" t="s">
        <v>53</v>
      </c>
      <c r="I96" s="3" t="s">
        <v>426</v>
      </c>
      <c r="M96" s="8" t="n">
        <v>438668</v>
      </c>
      <c r="P96" s="9" t="n">
        <v>49</v>
      </c>
      <c r="Q96" s="9" t="n">
        <v>16.8</v>
      </c>
      <c r="R96" s="9" t="n">
        <v>1</v>
      </c>
      <c r="S96" s="8" t="n">
        <v>555549</v>
      </c>
      <c r="T96" s="10" t="n">
        <v>50.6</v>
      </c>
      <c r="U96" s="9" t="n">
        <v>9</v>
      </c>
      <c r="V96" s="3" t="s">
        <v>92</v>
      </c>
      <c r="W96" s="9" t="n">
        <v>1</v>
      </c>
      <c r="Z96" s="3" t="s">
        <v>56</v>
      </c>
      <c r="AA96" s="3" t="s">
        <v>382</v>
      </c>
      <c r="AB96" s="11" t="n">
        <v>46127</v>
      </c>
    </row>
    <row r="97" customFormat="false" ht="15" hidden="false" customHeight="false" outlineLevel="0" collapsed="false">
      <c r="A97" s="3" t="s">
        <v>427</v>
      </c>
      <c r="B97" s="3" t="s">
        <v>378</v>
      </c>
      <c r="C97" s="3" t="s">
        <v>118</v>
      </c>
      <c r="D97" s="3" t="s">
        <v>379</v>
      </c>
      <c r="E97" s="3" t="s">
        <v>428</v>
      </c>
      <c r="F97" s="3" t="s">
        <v>51</v>
      </c>
      <c r="G97" s="3" t="s">
        <v>52</v>
      </c>
      <c r="H97" s="3" t="s">
        <v>53</v>
      </c>
      <c r="I97" s="3" t="s">
        <v>429</v>
      </c>
      <c r="M97" s="8" t="n">
        <v>114157</v>
      </c>
      <c r="P97" s="9" t="n">
        <v>76</v>
      </c>
      <c r="Q97" s="9" t="n">
        <v>11</v>
      </c>
      <c r="R97" s="9" t="n">
        <v>1</v>
      </c>
      <c r="S97" s="8" t="n">
        <v>370623</v>
      </c>
      <c r="T97" s="10" t="n">
        <v>23.9</v>
      </c>
      <c r="U97" s="9" t="n">
        <v>6</v>
      </c>
      <c r="V97" s="3" t="s">
        <v>55</v>
      </c>
      <c r="W97" s="9" t="n">
        <v>1</v>
      </c>
      <c r="Z97" s="3" t="s">
        <v>56</v>
      </c>
      <c r="AA97" s="3" t="s">
        <v>382</v>
      </c>
      <c r="AB97" s="11" t="n">
        <v>46127</v>
      </c>
    </row>
    <row r="98" customFormat="false" ht="15" hidden="false" customHeight="false" outlineLevel="0" collapsed="false">
      <c r="A98" s="3" t="s">
        <v>430</v>
      </c>
      <c r="B98" s="3" t="s">
        <v>378</v>
      </c>
      <c r="C98" s="3" t="s">
        <v>122</v>
      </c>
      <c r="D98" s="3" t="s">
        <v>391</v>
      </c>
      <c r="E98" s="3" t="s">
        <v>431</v>
      </c>
      <c r="F98" s="3" t="s">
        <v>51</v>
      </c>
      <c r="G98" s="3" t="s">
        <v>52</v>
      </c>
      <c r="H98" s="3" t="s">
        <v>53</v>
      </c>
      <c r="I98" s="3" t="s">
        <v>432</v>
      </c>
      <c r="M98" s="8" t="n">
        <v>529906</v>
      </c>
      <c r="P98" s="9" t="n">
        <v>77</v>
      </c>
      <c r="Q98" s="9" t="n">
        <v>18</v>
      </c>
      <c r="R98" s="9" t="n">
        <v>1</v>
      </c>
      <c r="S98" s="8" t="n">
        <v>451305</v>
      </c>
      <c r="T98" s="10" t="n">
        <v>70.2</v>
      </c>
      <c r="U98" s="9" t="n">
        <v>9</v>
      </c>
      <c r="V98" s="3" t="s">
        <v>62</v>
      </c>
      <c r="W98" s="9" t="n">
        <v>1</v>
      </c>
      <c r="Z98" s="3" t="s">
        <v>56</v>
      </c>
      <c r="AA98" s="3" t="s">
        <v>382</v>
      </c>
      <c r="AB98" s="11" t="n">
        <v>46127</v>
      </c>
    </row>
    <row r="99" customFormat="false" ht="15" hidden="false" customHeight="false" outlineLevel="0" collapsed="false">
      <c r="A99" s="3" t="s">
        <v>433</v>
      </c>
      <c r="B99" s="3" t="s">
        <v>378</v>
      </c>
      <c r="C99" s="3" t="s">
        <v>126</v>
      </c>
      <c r="D99" s="3" t="s">
        <v>384</v>
      </c>
      <c r="E99" s="3" t="s">
        <v>434</v>
      </c>
      <c r="F99" s="3" t="s">
        <v>51</v>
      </c>
      <c r="G99" s="3" t="s">
        <v>52</v>
      </c>
      <c r="H99" s="3" t="s">
        <v>53</v>
      </c>
      <c r="I99" s="3" t="s">
        <v>435</v>
      </c>
      <c r="M99" s="8" t="n">
        <v>690225</v>
      </c>
      <c r="P99" s="9" t="n">
        <v>46</v>
      </c>
      <c r="Q99" s="9" t="n">
        <v>19.9</v>
      </c>
      <c r="R99" s="9" t="n">
        <v>1</v>
      </c>
      <c r="S99" s="8" t="n">
        <v>373228</v>
      </c>
      <c r="T99" s="10" t="n">
        <v>49.8</v>
      </c>
      <c r="U99" s="9" t="n">
        <v>1</v>
      </c>
      <c r="V99" s="3" t="s">
        <v>55</v>
      </c>
      <c r="W99" s="9" t="n">
        <v>1</v>
      </c>
      <c r="Z99" s="3" t="s">
        <v>56</v>
      </c>
      <c r="AA99" s="3" t="s">
        <v>382</v>
      </c>
      <c r="AB99" s="11" t="n">
        <v>46127</v>
      </c>
    </row>
    <row r="100" customFormat="false" ht="15" hidden="false" customHeight="false" outlineLevel="0" collapsed="false">
      <c r="A100" s="3" t="s">
        <v>436</v>
      </c>
      <c r="B100" s="3" t="s">
        <v>378</v>
      </c>
      <c r="C100" s="3" t="s">
        <v>130</v>
      </c>
      <c r="D100" s="3" t="s">
        <v>379</v>
      </c>
      <c r="E100" s="3" t="s">
        <v>437</v>
      </c>
      <c r="F100" s="3" t="s">
        <v>51</v>
      </c>
      <c r="G100" s="3" t="s">
        <v>52</v>
      </c>
      <c r="H100" s="3" t="s">
        <v>53</v>
      </c>
      <c r="I100" s="3" t="s">
        <v>438</v>
      </c>
      <c r="M100" s="8" t="n">
        <v>924098</v>
      </c>
      <c r="P100" s="9" t="n">
        <v>40</v>
      </c>
      <c r="Q100" s="9" t="n">
        <v>18.9</v>
      </c>
      <c r="R100" s="9" t="n">
        <v>1</v>
      </c>
      <c r="S100" s="8" t="n">
        <v>904663</v>
      </c>
      <c r="T100" s="10" t="n">
        <v>93.4</v>
      </c>
      <c r="U100" s="9" t="n">
        <v>2</v>
      </c>
      <c r="V100" s="3" t="s">
        <v>83</v>
      </c>
      <c r="W100" s="9" t="n">
        <v>1</v>
      </c>
      <c r="Z100" s="3" t="s">
        <v>56</v>
      </c>
      <c r="AA100" s="3" t="s">
        <v>382</v>
      </c>
      <c r="AB100" s="11" t="n">
        <v>46127</v>
      </c>
    </row>
    <row r="101" customFormat="false" ht="15" hidden="false" customHeight="false" outlineLevel="0" collapsed="false">
      <c r="A101" s="3" t="s">
        <v>439</v>
      </c>
      <c r="B101" s="3" t="s">
        <v>378</v>
      </c>
      <c r="C101" s="3" t="s">
        <v>134</v>
      </c>
      <c r="D101" s="3" t="s">
        <v>384</v>
      </c>
      <c r="E101" s="3" t="s">
        <v>440</v>
      </c>
      <c r="F101" s="3" t="s">
        <v>51</v>
      </c>
      <c r="G101" s="3" t="s">
        <v>52</v>
      </c>
      <c r="H101" s="3" t="s">
        <v>53</v>
      </c>
      <c r="I101" s="3" t="s">
        <v>441</v>
      </c>
      <c r="M101" s="8" t="n">
        <v>413843</v>
      </c>
      <c r="P101" s="9" t="n">
        <v>77</v>
      </c>
      <c r="Q101" s="9" t="n">
        <v>14.7</v>
      </c>
      <c r="R101" s="9" t="n">
        <v>1</v>
      </c>
      <c r="S101" s="8" t="n">
        <v>321532</v>
      </c>
      <c r="T101" s="10" t="n">
        <v>56.3</v>
      </c>
      <c r="U101" s="9" t="n">
        <v>2</v>
      </c>
      <c r="V101" s="3" t="s">
        <v>92</v>
      </c>
      <c r="W101" s="9" t="n">
        <v>1</v>
      </c>
      <c r="Z101" s="3" t="s">
        <v>56</v>
      </c>
      <c r="AA101" s="3" t="s">
        <v>382</v>
      </c>
      <c r="AB101" s="11" t="n">
        <v>46127</v>
      </c>
    </row>
    <row r="102" customFormat="false" ht="15" hidden="false" customHeight="false" outlineLevel="0" collapsed="false">
      <c r="A102" s="3" t="s">
        <v>442</v>
      </c>
      <c r="B102" s="3" t="s">
        <v>378</v>
      </c>
      <c r="C102" s="3" t="s">
        <v>138</v>
      </c>
      <c r="D102" s="3" t="s">
        <v>379</v>
      </c>
      <c r="E102" s="3" t="s">
        <v>443</v>
      </c>
      <c r="F102" s="3" t="s">
        <v>51</v>
      </c>
      <c r="G102" s="3" t="s">
        <v>52</v>
      </c>
      <c r="H102" s="3" t="s">
        <v>53</v>
      </c>
      <c r="I102" s="3" t="s">
        <v>444</v>
      </c>
      <c r="M102" s="8" t="n">
        <v>247771</v>
      </c>
      <c r="P102" s="9" t="n">
        <v>77</v>
      </c>
      <c r="Q102" s="9" t="n">
        <v>29.2</v>
      </c>
      <c r="R102" s="9" t="n">
        <v>3</v>
      </c>
      <c r="S102" s="8" t="n">
        <v>1973306</v>
      </c>
      <c r="T102" s="10" t="n">
        <v>34.6</v>
      </c>
      <c r="U102" s="9" t="n">
        <v>5</v>
      </c>
      <c r="V102" s="3" t="s">
        <v>83</v>
      </c>
      <c r="W102" s="9" t="n">
        <v>1</v>
      </c>
      <c r="Z102" s="3" t="s">
        <v>56</v>
      </c>
      <c r="AA102" s="3" t="s">
        <v>382</v>
      </c>
      <c r="AB102" s="11" t="n">
        <v>46127</v>
      </c>
    </row>
    <row r="103" customFormat="false" ht="15" hidden="false" customHeight="false" outlineLevel="0" collapsed="false">
      <c r="A103" s="3" t="s">
        <v>445</v>
      </c>
      <c r="B103" s="3" t="s">
        <v>378</v>
      </c>
      <c r="C103" s="3" t="s">
        <v>142</v>
      </c>
      <c r="D103" s="3" t="s">
        <v>379</v>
      </c>
      <c r="E103" s="3" t="s">
        <v>446</v>
      </c>
      <c r="F103" s="3" t="s">
        <v>51</v>
      </c>
      <c r="G103" s="3" t="s">
        <v>52</v>
      </c>
      <c r="H103" s="3" t="s">
        <v>53</v>
      </c>
      <c r="I103" s="3" t="s">
        <v>447</v>
      </c>
      <c r="M103" s="8" t="n">
        <v>398032</v>
      </c>
      <c r="P103" s="9" t="n">
        <v>52</v>
      </c>
      <c r="Q103" s="9" t="n">
        <v>17.4</v>
      </c>
      <c r="R103" s="9" t="n">
        <v>1</v>
      </c>
      <c r="S103" s="8" t="n">
        <v>407961</v>
      </c>
      <c r="T103" s="10" t="n">
        <v>89</v>
      </c>
      <c r="U103" s="9" t="n">
        <v>5</v>
      </c>
      <c r="V103" s="3" t="s">
        <v>92</v>
      </c>
      <c r="W103" s="9" t="n">
        <v>1</v>
      </c>
      <c r="Z103" s="3" t="s">
        <v>56</v>
      </c>
      <c r="AA103" s="3" t="s">
        <v>382</v>
      </c>
      <c r="AB103" s="11" t="n">
        <v>46127</v>
      </c>
    </row>
    <row r="104" customFormat="false" ht="15" hidden="false" customHeight="false" outlineLevel="0" collapsed="false">
      <c r="A104" s="3" t="s">
        <v>448</v>
      </c>
      <c r="B104" s="3" t="s">
        <v>378</v>
      </c>
      <c r="C104" s="3" t="s">
        <v>146</v>
      </c>
      <c r="D104" s="3" t="s">
        <v>379</v>
      </c>
      <c r="E104" s="3" t="s">
        <v>449</v>
      </c>
      <c r="F104" s="3" t="s">
        <v>51</v>
      </c>
      <c r="G104" s="3" t="s">
        <v>52</v>
      </c>
      <c r="H104" s="3" t="s">
        <v>53</v>
      </c>
      <c r="I104" s="3" t="s">
        <v>450</v>
      </c>
      <c r="M104" s="8" t="n">
        <v>137700</v>
      </c>
      <c r="P104" s="9" t="n">
        <v>62</v>
      </c>
      <c r="Q104" s="9" t="n">
        <v>22.4</v>
      </c>
      <c r="R104" s="9" t="n">
        <v>1</v>
      </c>
      <c r="S104" s="8" t="n">
        <v>132474</v>
      </c>
      <c r="T104" s="10" t="n">
        <v>34.8</v>
      </c>
      <c r="U104" s="9" t="n">
        <v>6</v>
      </c>
      <c r="V104" s="3" t="s">
        <v>62</v>
      </c>
      <c r="W104" s="9" t="n">
        <v>1</v>
      </c>
      <c r="Z104" s="3" t="s">
        <v>56</v>
      </c>
      <c r="AA104" s="3" t="s">
        <v>382</v>
      </c>
      <c r="AB104" s="11" t="n">
        <v>46127</v>
      </c>
    </row>
    <row r="105" customFormat="false" ht="15" hidden="false" customHeight="false" outlineLevel="0" collapsed="false">
      <c r="A105" s="3" t="s">
        <v>451</v>
      </c>
      <c r="B105" s="3" t="s">
        <v>378</v>
      </c>
      <c r="C105" s="3" t="s">
        <v>150</v>
      </c>
      <c r="D105" s="3" t="s">
        <v>384</v>
      </c>
      <c r="E105" s="3" t="s">
        <v>452</v>
      </c>
      <c r="F105" s="3" t="s">
        <v>51</v>
      </c>
      <c r="G105" s="3" t="s">
        <v>52</v>
      </c>
      <c r="H105" s="3" t="s">
        <v>53</v>
      </c>
      <c r="I105" s="3" t="s">
        <v>453</v>
      </c>
      <c r="M105" s="8" t="n">
        <v>357948</v>
      </c>
      <c r="P105" s="9" t="n">
        <v>40</v>
      </c>
      <c r="Q105" s="9" t="n">
        <v>7.8</v>
      </c>
      <c r="R105" s="9" t="n">
        <v>1</v>
      </c>
      <c r="S105" s="8" t="n">
        <v>645537</v>
      </c>
      <c r="T105" s="10" t="n">
        <v>77.3</v>
      </c>
      <c r="U105" s="9" t="n">
        <v>1</v>
      </c>
      <c r="V105" s="3" t="s">
        <v>62</v>
      </c>
      <c r="W105" s="9" t="n">
        <v>1</v>
      </c>
      <c r="Z105" s="3" t="s">
        <v>56</v>
      </c>
      <c r="AA105" s="3" t="s">
        <v>382</v>
      </c>
      <c r="AB105" s="11" t="n">
        <v>46127</v>
      </c>
    </row>
    <row r="106" customFormat="false" ht="15" hidden="false" customHeight="false" outlineLevel="0" collapsed="false">
      <c r="A106" s="3" t="s">
        <v>454</v>
      </c>
      <c r="B106" s="3" t="s">
        <v>378</v>
      </c>
      <c r="C106" s="3" t="s">
        <v>154</v>
      </c>
      <c r="D106" s="3" t="s">
        <v>384</v>
      </c>
      <c r="E106" s="3" t="s">
        <v>455</v>
      </c>
      <c r="F106" s="3" t="s">
        <v>51</v>
      </c>
      <c r="G106" s="3" t="s">
        <v>52</v>
      </c>
      <c r="H106" s="3" t="s">
        <v>53</v>
      </c>
      <c r="I106" s="3" t="s">
        <v>456</v>
      </c>
      <c r="M106" s="8" t="n">
        <v>200280</v>
      </c>
      <c r="P106" s="9" t="n">
        <v>46</v>
      </c>
      <c r="Q106" s="9" t="n">
        <v>21.1</v>
      </c>
      <c r="R106" s="9" t="n">
        <v>1</v>
      </c>
      <c r="S106" s="8" t="n">
        <v>364632</v>
      </c>
      <c r="T106" s="10" t="n">
        <v>15.6</v>
      </c>
      <c r="U106" s="9" t="n">
        <v>6</v>
      </c>
      <c r="V106" s="3" t="s">
        <v>92</v>
      </c>
      <c r="W106" s="9" t="n">
        <v>1</v>
      </c>
      <c r="Z106" s="3" t="s">
        <v>56</v>
      </c>
      <c r="AA106" s="3" t="s">
        <v>382</v>
      </c>
      <c r="AB106" s="11" t="n">
        <v>46127</v>
      </c>
    </row>
    <row r="107" customFormat="false" ht="15" hidden="false" customHeight="false" outlineLevel="0" collapsed="false">
      <c r="A107" s="3" t="s">
        <v>457</v>
      </c>
      <c r="B107" s="3" t="s">
        <v>378</v>
      </c>
      <c r="C107" s="3" t="s">
        <v>158</v>
      </c>
      <c r="D107" s="3" t="s">
        <v>384</v>
      </c>
      <c r="E107" s="3" t="s">
        <v>458</v>
      </c>
      <c r="F107" s="3" t="s">
        <v>51</v>
      </c>
      <c r="G107" s="3" t="s">
        <v>52</v>
      </c>
      <c r="H107" s="3" t="s">
        <v>53</v>
      </c>
      <c r="I107" s="3" t="s">
        <v>459</v>
      </c>
      <c r="M107" s="8" t="n">
        <v>291397</v>
      </c>
      <c r="P107" s="9" t="n">
        <v>42</v>
      </c>
      <c r="Q107" s="9" t="n">
        <v>27.6</v>
      </c>
      <c r="R107" s="9" t="n">
        <v>3</v>
      </c>
      <c r="S107" s="8" t="n">
        <v>77319</v>
      </c>
      <c r="T107" s="10" t="n">
        <v>42.9</v>
      </c>
      <c r="U107" s="9" t="n">
        <v>7</v>
      </c>
      <c r="V107" s="3" t="s">
        <v>62</v>
      </c>
      <c r="W107" s="9" t="n">
        <v>1</v>
      </c>
      <c r="Z107" s="3" t="s">
        <v>56</v>
      </c>
      <c r="AA107" s="3" t="s">
        <v>382</v>
      </c>
      <c r="AB107" s="11" t="n">
        <v>46127</v>
      </c>
    </row>
    <row r="108" customFormat="false" ht="15" hidden="false" customHeight="false" outlineLevel="0" collapsed="false">
      <c r="A108" s="3" t="s">
        <v>460</v>
      </c>
      <c r="B108" s="3" t="s">
        <v>378</v>
      </c>
      <c r="C108" s="3" t="s">
        <v>162</v>
      </c>
      <c r="D108" s="3" t="s">
        <v>391</v>
      </c>
      <c r="E108" s="3" t="s">
        <v>461</v>
      </c>
      <c r="F108" s="3" t="s">
        <v>51</v>
      </c>
      <c r="G108" s="3" t="s">
        <v>52</v>
      </c>
      <c r="H108" s="3" t="s">
        <v>53</v>
      </c>
      <c r="I108" s="3" t="s">
        <v>462</v>
      </c>
      <c r="M108" s="8" t="n">
        <v>1160304</v>
      </c>
      <c r="P108" s="9" t="n">
        <v>73</v>
      </c>
      <c r="Q108" s="9" t="n">
        <v>20.3</v>
      </c>
      <c r="R108" s="9" t="n">
        <v>1</v>
      </c>
      <c r="S108" s="8" t="n">
        <v>1225586</v>
      </c>
      <c r="T108" s="10" t="n">
        <v>70.9</v>
      </c>
      <c r="U108" s="9" t="n">
        <v>10</v>
      </c>
      <c r="V108" s="3" t="s">
        <v>92</v>
      </c>
      <c r="W108" s="9" t="n">
        <v>1</v>
      </c>
      <c r="Z108" s="3" t="s">
        <v>56</v>
      </c>
      <c r="AA108" s="3" t="s">
        <v>382</v>
      </c>
      <c r="AB108" s="11" t="n">
        <v>46127</v>
      </c>
    </row>
    <row r="109" customFormat="false" ht="15" hidden="false" customHeight="false" outlineLevel="0" collapsed="false">
      <c r="A109" s="3" t="s">
        <v>463</v>
      </c>
      <c r="B109" s="3" t="s">
        <v>378</v>
      </c>
      <c r="C109" s="3" t="s">
        <v>166</v>
      </c>
      <c r="D109" s="3" t="s">
        <v>379</v>
      </c>
      <c r="E109" s="3" t="s">
        <v>464</v>
      </c>
      <c r="F109" s="3" t="s">
        <v>51</v>
      </c>
      <c r="G109" s="3" t="s">
        <v>52</v>
      </c>
      <c r="H109" s="3" t="s">
        <v>53</v>
      </c>
      <c r="I109" s="3" t="s">
        <v>465</v>
      </c>
      <c r="M109" s="8" t="n">
        <v>339217</v>
      </c>
      <c r="P109" s="9" t="n">
        <v>41</v>
      </c>
      <c r="Q109" s="9" t="n">
        <v>10.2</v>
      </c>
      <c r="R109" s="9" t="n">
        <v>1</v>
      </c>
      <c r="S109" s="8" t="n">
        <v>459027</v>
      </c>
      <c r="T109" s="10" t="n">
        <v>76.1</v>
      </c>
      <c r="U109" s="9" t="n">
        <v>9</v>
      </c>
      <c r="V109" s="3" t="s">
        <v>83</v>
      </c>
      <c r="W109" s="9" t="n">
        <v>1</v>
      </c>
      <c r="Z109" s="3" t="s">
        <v>56</v>
      </c>
      <c r="AA109" s="3" t="s">
        <v>382</v>
      </c>
      <c r="AB109" s="11" t="n">
        <v>46127</v>
      </c>
    </row>
    <row r="110" customFormat="false" ht="15" hidden="false" customHeight="false" outlineLevel="0" collapsed="false">
      <c r="A110" s="3" t="s">
        <v>466</v>
      </c>
      <c r="B110" s="3" t="s">
        <v>378</v>
      </c>
      <c r="C110" s="3" t="s">
        <v>170</v>
      </c>
      <c r="D110" s="3" t="s">
        <v>391</v>
      </c>
      <c r="E110" s="3" t="s">
        <v>467</v>
      </c>
      <c r="F110" s="3" t="s">
        <v>51</v>
      </c>
      <c r="G110" s="3" t="s">
        <v>52</v>
      </c>
      <c r="H110" s="3" t="s">
        <v>53</v>
      </c>
      <c r="I110" s="3" t="s">
        <v>376</v>
      </c>
      <c r="M110" s="8" t="n">
        <v>263649</v>
      </c>
      <c r="P110" s="9" t="n">
        <v>77</v>
      </c>
      <c r="Q110" s="9" t="n">
        <v>27.7</v>
      </c>
      <c r="R110" s="9" t="n">
        <v>1</v>
      </c>
      <c r="S110" s="8" t="n">
        <v>1062794</v>
      </c>
      <c r="T110" s="10" t="n">
        <v>43.2</v>
      </c>
      <c r="U110" s="9" t="n">
        <v>5</v>
      </c>
      <c r="V110" s="3" t="s">
        <v>92</v>
      </c>
      <c r="W110" s="9" t="n">
        <v>1</v>
      </c>
      <c r="Z110" s="3" t="s">
        <v>56</v>
      </c>
      <c r="AA110" s="3" t="s">
        <v>382</v>
      </c>
      <c r="AB110" s="11" t="n">
        <v>46127</v>
      </c>
    </row>
    <row r="111" customFormat="false" ht="15" hidden="false" customHeight="false" outlineLevel="0" collapsed="false">
      <c r="A111" s="3" t="s">
        <v>468</v>
      </c>
      <c r="B111" s="3" t="s">
        <v>378</v>
      </c>
      <c r="C111" s="3" t="s">
        <v>174</v>
      </c>
      <c r="D111" s="3" t="s">
        <v>379</v>
      </c>
      <c r="E111" s="3" t="s">
        <v>469</v>
      </c>
      <c r="F111" s="3" t="s">
        <v>51</v>
      </c>
      <c r="G111" s="3" t="s">
        <v>52</v>
      </c>
      <c r="H111" s="3" t="s">
        <v>53</v>
      </c>
      <c r="I111" s="3" t="s">
        <v>136</v>
      </c>
      <c r="M111" s="8" t="n">
        <v>401998</v>
      </c>
      <c r="P111" s="9" t="n">
        <v>44</v>
      </c>
      <c r="Q111" s="9" t="n">
        <v>23.3</v>
      </c>
      <c r="R111" s="9" t="n">
        <v>1</v>
      </c>
      <c r="S111" s="8" t="n">
        <v>5537175</v>
      </c>
      <c r="T111" s="10" t="n">
        <v>33.2</v>
      </c>
      <c r="U111" s="9" t="n">
        <v>9</v>
      </c>
      <c r="V111" s="3" t="s">
        <v>62</v>
      </c>
      <c r="W111" s="9" t="n">
        <v>1</v>
      </c>
      <c r="Z111" s="3" t="s">
        <v>56</v>
      </c>
      <c r="AA111" s="3" t="s">
        <v>382</v>
      </c>
      <c r="AB111" s="11" t="n">
        <v>46127</v>
      </c>
    </row>
    <row r="112" customFormat="false" ht="15" hidden="false" customHeight="false" outlineLevel="0" collapsed="false">
      <c r="A112" s="3" t="s">
        <v>470</v>
      </c>
      <c r="B112" s="3" t="s">
        <v>378</v>
      </c>
      <c r="C112" s="3" t="s">
        <v>178</v>
      </c>
      <c r="D112" s="3" t="s">
        <v>391</v>
      </c>
      <c r="E112" s="3" t="s">
        <v>471</v>
      </c>
      <c r="F112" s="3" t="s">
        <v>51</v>
      </c>
      <c r="G112" s="3" t="s">
        <v>52</v>
      </c>
      <c r="H112" s="3" t="s">
        <v>53</v>
      </c>
      <c r="I112" s="3" t="s">
        <v>472</v>
      </c>
      <c r="M112" s="8" t="n">
        <v>369205</v>
      </c>
      <c r="P112" s="9" t="n">
        <v>42</v>
      </c>
      <c r="Q112" s="9" t="n">
        <v>14.3</v>
      </c>
      <c r="R112" s="9" t="n">
        <v>1</v>
      </c>
      <c r="S112" s="8" t="n">
        <v>1076003</v>
      </c>
      <c r="T112" s="10" t="n">
        <v>76.3</v>
      </c>
      <c r="U112" s="9" t="n">
        <v>2</v>
      </c>
      <c r="V112" s="3" t="s">
        <v>83</v>
      </c>
      <c r="W112" s="9" t="n">
        <v>1</v>
      </c>
      <c r="Z112" s="3" t="s">
        <v>56</v>
      </c>
      <c r="AA112" s="3" t="s">
        <v>382</v>
      </c>
      <c r="AB112" s="11" t="n">
        <v>46127</v>
      </c>
    </row>
    <row r="113" customFormat="false" ht="15" hidden="false" customHeight="false" outlineLevel="0" collapsed="false">
      <c r="A113" s="3" t="s">
        <v>473</v>
      </c>
      <c r="B113" s="3" t="s">
        <v>378</v>
      </c>
      <c r="C113" s="3" t="s">
        <v>182</v>
      </c>
      <c r="D113" s="3" t="s">
        <v>391</v>
      </c>
      <c r="E113" s="3" t="s">
        <v>474</v>
      </c>
      <c r="F113" s="3" t="s">
        <v>51</v>
      </c>
      <c r="G113" s="3" t="s">
        <v>52</v>
      </c>
      <c r="H113" s="3" t="s">
        <v>53</v>
      </c>
      <c r="I113" s="3" t="s">
        <v>475</v>
      </c>
      <c r="M113" s="8" t="n">
        <v>342106</v>
      </c>
      <c r="P113" s="9" t="n">
        <v>38</v>
      </c>
      <c r="Q113" s="9" t="n">
        <v>11.6</v>
      </c>
      <c r="R113" s="9" t="n">
        <v>1</v>
      </c>
      <c r="S113" s="8" t="n">
        <v>481240</v>
      </c>
      <c r="T113" s="10" t="n">
        <v>34.3</v>
      </c>
      <c r="U113" s="9" t="n">
        <v>8</v>
      </c>
      <c r="V113" s="3" t="s">
        <v>92</v>
      </c>
      <c r="W113" s="9" t="n">
        <v>1</v>
      </c>
      <c r="Z113" s="3" t="s">
        <v>56</v>
      </c>
      <c r="AA113" s="3" t="s">
        <v>382</v>
      </c>
      <c r="AB113" s="11" t="n">
        <v>46127</v>
      </c>
    </row>
    <row r="114" customFormat="false" ht="15" hidden="false" customHeight="false" outlineLevel="0" collapsed="false">
      <c r="A114" s="3" t="s">
        <v>476</v>
      </c>
      <c r="B114" s="3" t="s">
        <v>378</v>
      </c>
      <c r="C114" s="3" t="s">
        <v>186</v>
      </c>
      <c r="D114" s="3" t="s">
        <v>391</v>
      </c>
      <c r="E114" s="3" t="s">
        <v>477</v>
      </c>
      <c r="F114" s="3" t="s">
        <v>51</v>
      </c>
      <c r="G114" s="3" t="s">
        <v>52</v>
      </c>
      <c r="H114" s="3" t="s">
        <v>53</v>
      </c>
      <c r="I114" s="3" t="s">
        <v>478</v>
      </c>
      <c r="M114" s="8" t="n">
        <v>1463422</v>
      </c>
      <c r="P114" s="9" t="n">
        <v>38</v>
      </c>
      <c r="Q114" s="9" t="n">
        <v>6.2</v>
      </c>
      <c r="R114" s="9" t="n">
        <v>1</v>
      </c>
      <c r="S114" s="8" t="n">
        <v>171200</v>
      </c>
      <c r="T114" s="10" t="n">
        <v>17.9</v>
      </c>
      <c r="U114" s="9" t="n">
        <v>7</v>
      </c>
      <c r="V114" s="3" t="s">
        <v>55</v>
      </c>
      <c r="W114" s="9" t="n">
        <v>1</v>
      </c>
      <c r="Z114" s="3" t="s">
        <v>56</v>
      </c>
      <c r="AA114" s="3" t="s">
        <v>382</v>
      </c>
      <c r="AB114" s="11" t="n">
        <v>46127</v>
      </c>
    </row>
    <row r="115" customFormat="false" ht="15" hidden="false" customHeight="false" outlineLevel="0" collapsed="false">
      <c r="A115" s="3" t="s">
        <v>479</v>
      </c>
      <c r="B115" s="3" t="s">
        <v>378</v>
      </c>
      <c r="C115" s="3" t="s">
        <v>190</v>
      </c>
      <c r="D115" s="3" t="s">
        <v>384</v>
      </c>
      <c r="E115" s="3" t="s">
        <v>480</v>
      </c>
      <c r="F115" s="3" t="s">
        <v>51</v>
      </c>
      <c r="G115" s="3" t="s">
        <v>52</v>
      </c>
      <c r="H115" s="3" t="s">
        <v>53</v>
      </c>
      <c r="I115" s="3" t="s">
        <v>481</v>
      </c>
      <c r="M115" s="8" t="n">
        <v>568873</v>
      </c>
      <c r="P115" s="9" t="n">
        <v>69</v>
      </c>
      <c r="Q115" s="9" t="n">
        <v>3.6</v>
      </c>
      <c r="R115" s="9" t="n">
        <v>1</v>
      </c>
      <c r="S115" s="8" t="n">
        <v>448698</v>
      </c>
      <c r="T115" s="10" t="n">
        <v>53.9</v>
      </c>
      <c r="U115" s="9" t="n">
        <v>4</v>
      </c>
      <c r="V115" s="3" t="s">
        <v>62</v>
      </c>
      <c r="W115" s="9" t="n">
        <v>1</v>
      </c>
      <c r="Z115" s="3" t="s">
        <v>56</v>
      </c>
      <c r="AA115" s="3" t="s">
        <v>382</v>
      </c>
      <c r="AB115" s="11" t="n">
        <v>46127</v>
      </c>
    </row>
    <row r="116" customFormat="false" ht="15" hidden="false" customHeight="false" outlineLevel="0" collapsed="false">
      <c r="A116" s="3" t="s">
        <v>482</v>
      </c>
      <c r="B116" s="3" t="s">
        <v>378</v>
      </c>
      <c r="C116" s="3" t="s">
        <v>194</v>
      </c>
      <c r="D116" s="3" t="s">
        <v>391</v>
      </c>
      <c r="E116" s="3" t="s">
        <v>483</v>
      </c>
      <c r="F116" s="3" t="s">
        <v>51</v>
      </c>
      <c r="G116" s="3" t="s">
        <v>52</v>
      </c>
      <c r="H116" s="3" t="s">
        <v>53</v>
      </c>
      <c r="I116" s="3" t="s">
        <v>484</v>
      </c>
      <c r="M116" s="8" t="n">
        <v>129616</v>
      </c>
      <c r="P116" s="9" t="n">
        <v>71</v>
      </c>
      <c r="Q116" s="9" t="n">
        <v>17.5</v>
      </c>
      <c r="R116" s="9" t="n">
        <v>1</v>
      </c>
      <c r="S116" s="8" t="n">
        <v>324748</v>
      </c>
      <c r="T116" s="10" t="n">
        <v>66.1</v>
      </c>
      <c r="U116" s="9" t="n">
        <v>1</v>
      </c>
      <c r="V116" s="3" t="s">
        <v>92</v>
      </c>
      <c r="W116" s="9" t="n">
        <v>1</v>
      </c>
      <c r="Z116" s="3" t="s">
        <v>56</v>
      </c>
      <c r="AA116" s="3" t="s">
        <v>382</v>
      </c>
      <c r="AB116" s="11" t="n">
        <v>46127</v>
      </c>
    </row>
    <row r="117" customFormat="false" ht="15" hidden="false" customHeight="false" outlineLevel="0" collapsed="false">
      <c r="A117" s="3" t="s">
        <v>485</v>
      </c>
      <c r="B117" s="3" t="s">
        <v>378</v>
      </c>
      <c r="C117" s="3" t="s">
        <v>198</v>
      </c>
      <c r="D117" s="3" t="s">
        <v>384</v>
      </c>
      <c r="E117" s="3" t="s">
        <v>486</v>
      </c>
      <c r="F117" s="3" t="s">
        <v>51</v>
      </c>
      <c r="G117" s="3" t="s">
        <v>52</v>
      </c>
      <c r="H117" s="3" t="s">
        <v>53</v>
      </c>
      <c r="I117" s="3" t="s">
        <v>487</v>
      </c>
      <c r="M117" s="8" t="n">
        <v>186726</v>
      </c>
      <c r="P117" s="9" t="n">
        <v>70</v>
      </c>
      <c r="Q117" s="9" t="n">
        <v>18.6</v>
      </c>
      <c r="R117" s="9" t="n">
        <v>1</v>
      </c>
      <c r="S117" s="8" t="n">
        <v>877944</v>
      </c>
      <c r="T117" s="10" t="n">
        <v>72</v>
      </c>
      <c r="U117" s="9" t="n">
        <v>3</v>
      </c>
      <c r="V117" s="3" t="s">
        <v>62</v>
      </c>
      <c r="W117" s="9" t="n">
        <v>1</v>
      </c>
      <c r="Z117" s="3" t="s">
        <v>56</v>
      </c>
      <c r="AA117" s="3" t="s">
        <v>382</v>
      </c>
      <c r="AB117" s="11" t="n">
        <v>46127</v>
      </c>
    </row>
    <row r="118" customFormat="false" ht="15" hidden="false" customHeight="false" outlineLevel="0" collapsed="false">
      <c r="A118" s="3" t="s">
        <v>488</v>
      </c>
      <c r="B118" s="3" t="s">
        <v>378</v>
      </c>
      <c r="C118" s="3" t="s">
        <v>202</v>
      </c>
      <c r="D118" s="3" t="s">
        <v>379</v>
      </c>
      <c r="E118" s="3" t="s">
        <v>489</v>
      </c>
      <c r="F118" s="3" t="s">
        <v>51</v>
      </c>
      <c r="G118" s="3" t="s">
        <v>52</v>
      </c>
      <c r="H118" s="3" t="s">
        <v>53</v>
      </c>
      <c r="I118" s="3" t="s">
        <v>490</v>
      </c>
      <c r="M118" s="8" t="n">
        <v>575794</v>
      </c>
      <c r="P118" s="9" t="n">
        <v>56</v>
      </c>
      <c r="Q118" s="9" t="n">
        <v>10.3</v>
      </c>
      <c r="R118" s="9" t="n">
        <v>1</v>
      </c>
      <c r="S118" s="8" t="n">
        <v>607606</v>
      </c>
      <c r="T118" s="10" t="n">
        <v>63.4</v>
      </c>
      <c r="U118" s="9" t="n">
        <v>10</v>
      </c>
      <c r="V118" s="3" t="s">
        <v>92</v>
      </c>
      <c r="W118" s="9" t="n">
        <v>1</v>
      </c>
      <c r="Z118" s="3" t="s">
        <v>56</v>
      </c>
      <c r="AA118" s="3" t="s">
        <v>382</v>
      </c>
      <c r="AB118" s="11" t="n">
        <v>46127</v>
      </c>
    </row>
    <row r="119" customFormat="false" ht="15" hidden="false" customHeight="false" outlineLevel="0" collapsed="false">
      <c r="A119" s="3" t="s">
        <v>491</v>
      </c>
      <c r="B119" s="3" t="s">
        <v>378</v>
      </c>
      <c r="C119" s="3" t="s">
        <v>206</v>
      </c>
      <c r="D119" s="3" t="s">
        <v>384</v>
      </c>
      <c r="E119" s="3" t="s">
        <v>492</v>
      </c>
      <c r="F119" s="3" t="s">
        <v>51</v>
      </c>
      <c r="G119" s="3" t="s">
        <v>52</v>
      </c>
      <c r="H119" s="3" t="s">
        <v>53</v>
      </c>
      <c r="I119" s="3" t="s">
        <v>493</v>
      </c>
      <c r="M119" s="8" t="n">
        <v>916845</v>
      </c>
      <c r="P119" s="9" t="n">
        <v>51</v>
      </c>
      <c r="Q119" s="9" t="n">
        <v>15.9</v>
      </c>
      <c r="R119" s="9" t="n">
        <v>1</v>
      </c>
      <c r="S119" s="8" t="n">
        <v>590069</v>
      </c>
      <c r="T119" s="10" t="n">
        <v>60.6</v>
      </c>
      <c r="U119" s="9" t="n">
        <v>9</v>
      </c>
      <c r="V119" s="3" t="s">
        <v>92</v>
      </c>
      <c r="W119" s="9" t="n">
        <v>1</v>
      </c>
      <c r="Z119" s="3" t="s">
        <v>56</v>
      </c>
      <c r="AA119" s="3" t="s">
        <v>382</v>
      </c>
      <c r="AB119" s="11" t="n">
        <v>46127</v>
      </c>
    </row>
    <row r="120" customFormat="false" ht="15" hidden="false" customHeight="false" outlineLevel="0" collapsed="false">
      <c r="A120" s="3" t="s">
        <v>494</v>
      </c>
      <c r="B120" s="3" t="s">
        <v>378</v>
      </c>
      <c r="C120" s="3" t="s">
        <v>210</v>
      </c>
      <c r="D120" s="3" t="s">
        <v>384</v>
      </c>
      <c r="E120" s="3" t="s">
        <v>495</v>
      </c>
      <c r="F120" s="3" t="s">
        <v>51</v>
      </c>
      <c r="G120" s="3" t="s">
        <v>52</v>
      </c>
      <c r="H120" s="3" t="s">
        <v>53</v>
      </c>
      <c r="I120" s="3" t="s">
        <v>496</v>
      </c>
      <c r="M120" s="8" t="n">
        <v>329202</v>
      </c>
      <c r="P120" s="9" t="n">
        <v>59</v>
      </c>
      <c r="Q120" s="9" t="n">
        <v>10.4</v>
      </c>
      <c r="R120" s="9" t="n">
        <v>1</v>
      </c>
      <c r="S120" s="8" t="n">
        <v>322615</v>
      </c>
      <c r="T120" s="10" t="n">
        <v>37.1</v>
      </c>
      <c r="U120" s="9" t="n">
        <v>9</v>
      </c>
      <c r="V120" s="3" t="s">
        <v>92</v>
      </c>
      <c r="W120" s="9" t="n">
        <v>1</v>
      </c>
      <c r="Z120" s="3" t="s">
        <v>56</v>
      </c>
      <c r="AA120" s="3" t="s">
        <v>382</v>
      </c>
      <c r="AB120" s="11" t="n">
        <v>46127</v>
      </c>
    </row>
    <row r="121" customFormat="false" ht="15" hidden="false" customHeight="false" outlineLevel="0" collapsed="false">
      <c r="A121" s="3" t="s">
        <v>497</v>
      </c>
      <c r="B121" s="3" t="s">
        <v>378</v>
      </c>
      <c r="C121" s="3" t="s">
        <v>214</v>
      </c>
      <c r="D121" s="3" t="s">
        <v>391</v>
      </c>
      <c r="E121" s="3" t="s">
        <v>498</v>
      </c>
      <c r="F121" s="3" t="s">
        <v>51</v>
      </c>
      <c r="G121" s="3" t="s">
        <v>52</v>
      </c>
      <c r="H121" s="3" t="s">
        <v>53</v>
      </c>
      <c r="I121" s="3" t="s">
        <v>499</v>
      </c>
      <c r="M121" s="8" t="n">
        <v>256296</v>
      </c>
      <c r="P121" s="9" t="n">
        <v>75</v>
      </c>
      <c r="Q121" s="9" t="n">
        <v>16.9</v>
      </c>
      <c r="R121" s="9" t="n">
        <v>1</v>
      </c>
      <c r="S121" s="8" t="n">
        <v>469521</v>
      </c>
      <c r="T121" s="10" t="n">
        <v>26.9</v>
      </c>
      <c r="U121" s="9" t="n">
        <v>1</v>
      </c>
      <c r="V121" s="3" t="s">
        <v>83</v>
      </c>
      <c r="W121" s="9" t="n">
        <v>1</v>
      </c>
      <c r="Z121" s="3" t="s">
        <v>56</v>
      </c>
      <c r="AA121" s="3" t="s">
        <v>382</v>
      </c>
      <c r="AB121" s="11" t="n">
        <v>46127</v>
      </c>
    </row>
    <row r="122" customFormat="false" ht="15" hidden="false" customHeight="false" outlineLevel="0" collapsed="false">
      <c r="A122" s="3" t="s">
        <v>500</v>
      </c>
      <c r="B122" s="3" t="s">
        <v>378</v>
      </c>
      <c r="C122" s="3" t="s">
        <v>218</v>
      </c>
      <c r="D122" s="3" t="s">
        <v>384</v>
      </c>
      <c r="E122" s="3" t="s">
        <v>501</v>
      </c>
      <c r="F122" s="3" t="s">
        <v>51</v>
      </c>
      <c r="G122" s="3" t="s">
        <v>52</v>
      </c>
      <c r="H122" s="3" t="s">
        <v>53</v>
      </c>
      <c r="I122" s="3" t="s">
        <v>502</v>
      </c>
      <c r="M122" s="8" t="n">
        <v>215249</v>
      </c>
      <c r="P122" s="9" t="n">
        <v>54</v>
      </c>
      <c r="Q122" s="9" t="n">
        <v>22.1</v>
      </c>
      <c r="R122" s="9" t="n">
        <v>1</v>
      </c>
      <c r="S122" s="8" t="n">
        <v>793040</v>
      </c>
      <c r="T122" s="10" t="n">
        <v>45.7</v>
      </c>
      <c r="U122" s="9" t="n">
        <v>8</v>
      </c>
      <c r="V122" s="3" t="s">
        <v>83</v>
      </c>
      <c r="W122" s="9" t="n">
        <v>1</v>
      </c>
      <c r="Z122" s="3" t="s">
        <v>56</v>
      </c>
      <c r="AA122" s="3" t="s">
        <v>382</v>
      </c>
      <c r="AB122" s="11" t="n">
        <v>46127</v>
      </c>
    </row>
    <row r="123" customFormat="false" ht="15" hidden="false" customHeight="false" outlineLevel="0" collapsed="false">
      <c r="A123" s="3" t="s">
        <v>503</v>
      </c>
      <c r="B123" s="3" t="s">
        <v>378</v>
      </c>
      <c r="C123" s="3" t="s">
        <v>222</v>
      </c>
      <c r="D123" s="3" t="s">
        <v>384</v>
      </c>
      <c r="E123" s="3" t="s">
        <v>504</v>
      </c>
      <c r="F123" s="3" t="s">
        <v>51</v>
      </c>
      <c r="G123" s="3" t="s">
        <v>52</v>
      </c>
      <c r="H123" s="3" t="s">
        <v>53</v>
      </c>
      <c r="I123" s="3" t="s">
        <v>505</v>
      </c>
      <c r="M123" s="8" t="n">
        <v>921165</v>
      </c>
      <c r="P123" s="9" t="n">
        <v>66</v>
      </c>
      <c r="Q123" s="9" t="n">
        <v>20.3</v>
      </c>
      <c r="R123" s="9" t="n">
        <v>1</v>
      </c>
      <c r="S123" s="8" t="n">
        <v>432765</v>
      </c>
      <c r="T123" s="10" t="n">
        <v>32.7</v>
      </c>
      <c r="U123" s="9" t="n">
        <v>5</v>
      </c>
      <c r="V123" s="3" t="s">
        <v>62</v>
      </c>
      <c r="W123" s="9" t="n">
        <v>1</v>
      </c>
      <c r="Z123" s="3" t="s">
        <v>56</v>
      </c>
      <c r="AA123" s="3" t="s">
        <v>382</v>
      </c>
      <c r="AB123" s="11" t="n">
        <v>46127</v>
      </c>
    </row>
    <row r="124" customFormat="false" ht="15" hidden="false" customHeight="false" outlineLevel="0" collapsed="false">
      <c r="A124" s="3" t="s">
        <v>506</v>
      </c>
      <c r="B124" s="3" t="s">
        <v>378</v>
      </c>
      <c r="C124" s="3" t="s">
        <v>226</v>
      </c>
      <c r="D124" s="3" t="s">
        <v>391</v>
      </c>
      <c r="E124" s="3" t="s">
        <v>507</v>
      </c>
      <c r="F124" s="3" t="s">
        <v>51</v>
      </c>
      <c r="G124" s="3" t="s">
        <v>52</v>
      </c>
      <c r="H124" s="3" t="s">
        <v>53</v>
      </c>
      <c r="I124" s="3" t="s">
        <v>508</v>
      </c>
      <c r="M124" s="8" t="n">
        <v>601526</v>
      </c>
      <c r="P124" s="9" t="n">
        <v>50</v>
      </c>
      <c r="Q124" s="9" t="n">
        <v>23.7</v>
      </c>
      <c r="R124" s="9" t="n">
        <v>1</v>
      </c>
      <c r="S124" s="8" t="n">
        <v>594310</v>
      </c>
      <c r="T124" s="10" t="n">
        <v>35</v>
      </c>
      <c r="U124" s="9" t="n">
        <v>10</v>
      </c>
      <c r="V124" s="3" t="s">
        <v>83</v>
      </c>
      <c r="W124" s="9" t="n">
        <v>1</v>
      </c>
      <c r="Z124" s="3" t="s">
        <v>56</v>
      </c>
      <c r="AA124" s="3" t="s">
        <v>382</v>
      </c>
      <c r="AB124" s="11" t="n">
        <v>46127</v>
      </c>
    </row>
    <row r="125" customFormat="false" ht="15" hidden="false" customHeight="false" outlineLevel="0" collapsed="false">
      <c r="A125" s="3" t="s">
        <v>509</v>
      </c>
      <c r="B125" s="3" t="s">
        <v>378</v>
      </c>
      <c r="C125" s="3" t="s">
        <v>230</v>
      </c>
      <c r="D125" s="3" t="s">
        <v>384</v>
      </c>
      <c r="E125" s="3" t="s">
        <v>510</v>
      </c>
      <c r="F125" s="3" t="s">
        <v>51</v>
      </c>
      <c r="G125" s="3" t="s">
        <v>52</v>
      </c>
      <c r="H125" s="3" t="s">
        <v>53</v>
      </c>
      <c r="I125" s="3" t="s">
        <v>511</v>
      </c>
      <c r="M125" s="8" t="n">
        <v>547876</v>
      </c>
      <c r="P125" s="9" t="n">
        <v>42</v>
      </c>
      <c r="Q125" s="9" t="n">
        <v>17.9</v>
      </c>
      <c r="R125" s="9" t="n">
        <v>2</v>
      </c>
      <c r="S125" s="8" t="n">
        <v>308690</v>
      </c>
      <c r="T125" s="10" t="n">
        <v>82.3</v>
      </c>
      <c r="U125" s="9" t="n">
        <v>7</v>
      </c>
      <c r="V125" s="3" t="s">
        <v>83</v>
      </c>
      <c r="W125" s="9" t="n">
        <v>1</v>
      </c>
      <c r="Z125" s="3" t="s">
        <v>56</v>
      </c>
      <c r="AA125" s="3" t="s">
        <v>382</v>
      </c>
      <c r="AB125" s="11" t="n">
        <v>46127</v>
      </c>
    </row>
    <row r="126" customFormat="false" ht="15" hidden="false" customHeight="false" outlineLevel="0" collapsed="false">
      <c r="A126" s="3" t="s">
        <v>512</v>
      </c>
      <c r="B126" s="3" t="s">
        <v>378</v>
      </c>
      <c r="C126" s="3" t="s">
        <v>234</v>
      </c>
      <c r="D126" s="3" t="s">
        <v>379</v>
      </c>
      <c r="E126" s="3" t="s">
        <v>513</v>
      </c>
      <c r="F126" s="3" t="s">
        <v>51</v>
      </c>
      <c r="G126" s="3" t="s">
        <v>52</v>
      </c>
      <c r="H126" s="3" t="s">
        <v>53</v>
      </c>
      <c r="I126" s="3" t="s">
        <v>514</v>
      </c>
      <c r="M126" s="8" t="n">
        <v>116160</v>
      </c>
      <c r="P126" s="9" t="n">
        <v>75</v>
      </c>
      <c r="Q126" s="9" t="n">
        <v>15.9</v>
      </c>
      <c r="R126" s="9" t="n">
        <v>1</v>
      </c>
      <c r="S126" s="8" t="n">
        <v>378102</v>
      </c>
      <c r="T126" s="10" t="n">
        <v>32.3</v>
      </c>
      <c r="U126" s="9" t="n">
        <v>7</v>
      </c>
      <c r="V126" s="3" t="s">
        <v>62</v>
      </c>
      <c r="W126" s="9" t="n">
        <v>1</v>
      </c>
      <c r="Z126" s="3" t="s">
        <v>56</v>
      </c>
      <c r="AA126" s="3" t="s">
        <v>382</v>
      </c>
      <c r="AB126" s="11" t="n">
        <v>46127</v>
      </c>
    </row>
    <row r="127" customFormat="false" ht="15" hidden="false" customHeight="false" outlineLevel="0" collapsed="false">
      <c r="A127" s="3" t="s">
        <v>515</v>
      </c>
      <c r="B127" s="3" t="s">
        <v>378</v>
      </c>
      <c r="C127" s="3" t="s">
        <v>238</v>
      </c>
      <c r="D127" s="3" t="s">
        <v>384</v>
      </c>
      <c r="E127" s="3" t="s">
        <v>516</v>
      </c>
      <c r="F127" s="3" t="s">
        <v>51</v>
      </c>
      <c r="G127" s="3" t="s">
        <v>52</v>
      </c>
      <c r="H127" s="3" t="s">
        <v>53</v>
      </c>
      <c r="I127" s="3" t="s">
        <v>517</v>
      </c>
      <c r="M127" s="8" t="n">
        <v>303638</v>
      </c>
      <c r="P127" s="9" t="n">
        <v>43</v>
      </c>
      <c r="Q127" s="9" t="n">
        <v>4.8</v>
      </c>
      <c r="R127" s="9" t="n">
        <v>1</v>
      </c>
      <c r="S127" s="8" t="n">
        <v>533117</v>
      </c>
      <c r="T127" s="10" t="n">
        <v>44.2</v>
      </c>
      <c r="U127" s="9" t="n">
        <v>10</v>
      </c>
      <c r="V127" s="3" t="s">
        <v>55</v>
      </c>
      <c r="W127" s="9" t="n">
        <v>1</v>
      </c>
      <c r="Z127" s="3" t="s">
        <v>56</v>
      </c>
      <c r="AA127" s="3" t="s">
        <v>382</v>
      </c>
      <c r="AB127" s="11" t="n">
        <v>46127</v>
      </c>
    </row>
    <row r="128" customFormat="false" ht="15" hidden="false" customHeight="false" outlineLevel="0" collapsed="false">
      <c r="A128" s="3" t="s">
        <v>518</v>
      </c>
      <c r="B128" s="3" t="s">
        <v>378</v>
      </c>
      <c r="C128" s="3" t="s">
        <v>242</v>
      </c>
      <c r="D128" s="3" t="s">
        <v>384</v>
      </c>
      <c r="E128" s="3" t="s">
        <v>519</v>
      </c>
      <c r="F128" s="3" t="s">
        <v>51</v>
      </c>
      <c r="G128" s="3" t="s">
        <v>52</v>
      </c>
      <c r="H128" s="3" t="s">
        <v>53</v>
      </c>
      <c r="I128" s="3" t="s">
        <v>520</v>
      </c>
      <c r="M128" s="8" t="n">
        <v>267761</v>
      </c>
      <c r="P128" s="9" t="n">
        <v>74</v>
      </c>
      <c r="Q128" s="9" t="n">
        <v>16.7</v>
      </c>
      <c r="R128" s="9" t="n">
        <v>1</v>
      </c>
      <c r="S128" s="8" t="n">
        <v>2093234</v>
      </c>
      <c r="T128" s="10" t="n">
        <v>62.1</v>
      </c>
      <c r="U128" s="9" t="n">
        <v>10</v>
      </c>
      <c r="V128" s="3" t="s">
        <v>62</v>
      </c>
      <c r="W128" s="9" t="n">
        <v>1</v>
      </c>
      <c r="Z128" s="3" t="s">
        <v>56</v>
      </c>
      <c r="AA128" s="3" t="s">
        <v>382</v>
      </c>
      <c r="AB128" s="11" t="n">
        <v>46127</v>
      </c>
    </row>
    <row r="129" customFormat="false" ht="15" hidden="false" customHeight="false" outlineLevel="0" collapsed="false">
      <c r="A129" s="3" t="s">
        <v>521</v>
      </c>
      <c r="B129" s="3" t="s">
        <v>378</v>
      </c>
      <c r="C129" s="3" t="s">
        <v>246</v>
      </c>
      <c r="D129" s="3" t="s">
        <v>384</v>
      </c>
      <c r="E129" s="3" t="s">
        <v>522</v>
      </c>
      <c r="F129" s="3" t="s">
        <v>51</v>
      </c>
      <c r="G129" s="3" t="s">
        <v>52</v>
      </c>
      <c r="H129" s="3" t="s">
        <v>53</v>
      </c>
      <c r="I129" s="3" t="s">
        <v>523</v>
      </c>
      <c r="M129" s="8" t="n">
        <v>322046</v>
      </c>
      <c r="P129" s="9" t="n">
        <v>57</v>
      </c>
      <c r="Q129" s="9" t="n">
        <v>14.8</v>
      </c>
      <c r="R129" s="9" t="n">
        <v>1</v>
      </c>
      <c r="S129" s="8" t="n">
        <v>1061897</v>
      </c>
      <c r="T129" s="10" t="n">
        <v>21.3</v>
      </c>
      <c r="U129" s="9" t="n">
        <v>9</v>
      </c>
      <c r="V129" s="3" t="s">
        <v>62</v>
      </c>
      <c r="W129" s="9" t="n">
        <v>1</v>
      </c>
      <c r="Z129" s="3" t="s">
        <v>56</v>
      </c>
      <c r="AA129" s="3" t="s">
        <v>382</v>
      </c>
      <c r="AB129" s="11" t="n">
        <v>46127</v>
      </c>
    </row>
    <row r="130" customFormat="false" ht="15" hidden="false" customHeight="false" outlineLevel="0" collapsed="false">
      <c r="A130" s="3" t="s">
        <v>524</v>
      </c>
      <c r="B130" s="3" t="s">
        <v>378</v>
      </c>
      <c r="C130" s="3" t="s">
        <v>250</v>
      </c>
      <c r="D130" s="3" t="s">
        <v>379</v>
      </c>
      <c r="E130" s="3" t="s">
        <v>525</v>
      </c>
      <c r="F130" s="3" t="s">
        <v>51</v>
      </c>
      <c r="G130" s="3" t="s">
        <v>52</v>
      </c>
      <c r="H130" s="3" t="s">
        <v>53</v>
      </c>
      <c r="I130" s="3" t="s">
        <v>526</v>
      </c>
      <c r="M130" s="8" t="n">
        <v>215567</v>
      </c>
      <c r="P130" s="9" t="n">
        <v>46</v>
      </c>
      <c r="Q130" s="9" t="n">
        <v>8</v>
      </c>
      <c r="R130" s="9" t="n">
        <v>1</v>
      </c>
      <c r="S130" s="8" t="n">
        <v>443810</v>
      </c>
      <c r="T130" s="10" t="n">
        <v>48.7</v>
      </c>
      <c r="U130" s="9" t="n">
        <v>5</v>
      </c>
      <c r="V130" s="3" t="s">
        <v>55</v>
      </c>
      <c r="W130" s="9" t="n">
        <v>1</v>
      </c>
      <c r="Z130" s="3" t="s">
        <v>56</v>
      </c>
      <c r="AA130" s="3" t="s">
        <v>382</v>
      </c>
      <c r="AB130" s="11" t="n">
        <v>46127</v>
      </c>
    </row>
    <row r="131" customFormat="false" ht="15" hidden="false" customHeight="false" outlineLevel="0" collapsed="false">
      <c r="A131" s="3" t="s">
        <v>527</v>
      </c>
      <c r="B131" s="3" t="s">
        <v>378</v>
      </c>
      <c r="C131" s="3" t="s">
        <v>254</v>
      </c>
      <c r="D131" s="3" t="s">
        <v>379</v>
      </c>
      <c r="E131" s="3" t="s">
        <v>528</v>
      </c>
      <c r="F131" s="3" t="s">
        <v>51</v>
      </c>
      <c r="G131" s="3" t="s">
        <v>52</v>
      </c>
      <c r="H131" s="3" t="s">
        <v>53</v>
      </c>
      <c r="I131" s="3" t="s">
        <v>529</v>
      </c>
      <c r="M131" s="8" t="n">
        <v>267527</v>
      </c>
      <c r="P131" s="9" t="n">
        <v>67</v>
      </c>
      <c r="Q131" s="9" t="n">
        <v>7.7</v>
      </c>
      <c r="R131" s="9" t="n">
        <v>1</v>
      </c>
      <c r="S131" s="8" t="n">
        <v>418293</v>
      </c>
      <c r="T131" s="10" t="n">
        <v>35.3</v>
      </c>
      <c r="U131" s="9" t="n">
        <v>6</v>
      </c>
      <c r="V131" s="3" t="s">
        <v>55</v>
      </c>
      <c r="W131" s="9" t="n">
        <v>1</v>
      </c>
      <c r="Z131" s="3" t="s">
        <v>56</v>
      </c>
      <c r="AA131" s="3" t="s">
        <v>382</v>
      </c>
      <c r="AB131" s="11" t="n">
        <v>46127</v>
      </c>
    </row>
    <row r="132" customFormat="false" ht="15" hidden="false" customHeight="false" outlineLevel="0" collapsed="false">
      <c r="A132" s="3" t="s">
        <v>530</v>
      </c>
      <c r="B132" s="3" t="s">
        <v>378</v>
      </c>
      <c r="C132" s="3" t="s">
        <v>258</v>
      </c>
      <c r="D132" s="3" t="s">
        <v>391</v>
      </c>
      <c r="E132" s="3" t="s">
        <v>531</v>
      </c>
      <c r="F132" s="3" t="s">
        <v>51</v>
      </c>
      <c r="G132" s="3" t="s">
        <v>52</v>
      </c>
      <c r="H132" s="3" t="s">
        <v>53</v>
      </c>
      <c r="I132" s="3" t="s">
        <v>532</v>
      </c>
      <c r="M132" s="8" t="n">
        <v>226962</v>
      </c>
      <c r="P132" s="9" t="n">
        <v>55</v>
      </c>
      <c r="Q132" s="9" t="n">
        <v>10.5</v>
      </c>
      <c r="R132" s="9" t="n">
        <v>1</v>
      </c>
      <c r="S132" s="8" t="n">
        <v>551187</v>
      </c>
      <c r="T132" s="10" t="n">
        <v>52.3</v>
      </c>
      <c r="U132" s="9" t="n">
        <v>7</v>
      </c>
      <c r="V132" s="3" t="s">
        <v>55</v>
      </c>
      <c r="W132" s="9" t="n">
        <v>1</v>
      </c>
      <c r="Z132" s="3" t="s">
        <v>56</v>
      </c>
      <c r="AA132" s="3" t="s">
        <v>382</v>
      </c>
      <c r="AB132" s="11" t="n">
        <v>46127</v>
      </c>
    </row>
    <row r="133" customFormat="false" ht="15" hidden="false" customHeight="false" outlineLevel="0" collapsed="false">
      <c r="A133" s="3" t="s">
        <v>533</v>
      </c>
      <c r="B133" s="3" t="s">
        <v>378</v>
      </c>
      <c r="C133" s="3" t="s">
        <v>262</v>
      </c>
      <c r="D133" s="3" t="s">
        <v>384</v>
      </c>
      <c r="E133" s="3" t="s">
        <v>534</v>
      </c>
      <c r="F133" s="3" t="s">
        <v>51</v>
      </c>
      <c r="G133" s="3" t="s">
        <v>52</v>
      </c>
      <c r="H133" s="3" t="s">
        <v>53</v>
      </c>
      <c r="I133" s="3" t="s">
        <v>535</v>
      </c>
      <c r="M133" s="8" t="n">
        <v>1447359</v>
      </c>
      <c r="P133" s="9" t="n">
        <v>40</v>
      </c>
      <c r="Q133" s="9" t="n">
        <v>3.3</v>
      </c>
      <c r="R133" s="9" t="n">
        <v>1</v>
      </c>
      <c r="S133" s="8" t="n">
        <v>591894</v>
      </c>
      <c r="T133" s="10" t="n">
        <v>18.7</v>
      </c>
      <c r="U133" s="9" t="n">
        <v>4</v>
      </c>
      <c r="V133" s="3" t="s">
        <v>55</v>
      </c>
      <c r="W133" s="9" t="n">
        <v>1</v>
      </c>
      <c r="Z133" s="3" t="s">
        <v>56</v>
      </c>
      <c r="AA133" s="3" t="s">
        <v>382</v>
      </c>
      <c r="AB133" s="11" t="n">
        <v>46127</v>
      </c>
    </row>
    <row r="134" customFormat="false" ht="15" hidden="false" customHeight="false" outlineLevel="0" collapsed="false">
      <c r="A134" s="3" t="s">
        <v>536</v>
      </c>
      <c r="B134" s="3" t="s">
        <v>378</v>
      </c>
      <c r="C134" s="3" t="s">
        <v>266</v>
      </c>
      <c r="D134" s="3" t="s">
        <v>391</v>
      </c>
      <c r="E134" s="3" t="s">
        <v>537</v>
      </c>
      <c r="F134" s="3" t="s">
        <v>51</v>
      </c>
      <c r="G134" s="3" t="s">
        <v>52</v>
      </c>
      <c r="H134" s="3" t="s">
        <v>53</v>
      </c>
      <c r="I134" s="3" t="s">
        <v>538</v>
      </c>
      <c r="M134" s="8" t="n">
        <v>333257</v>
      </c>
      <c r="P134" s="9" t="n">
        <v>64</v>
      </c>
      <c r="Q134" s="9" t="n">
        <v>3.4</v>
      </c>
      <c r="R134" s="9" t="n">
        <v>1</v>
      </c>
      <c r="S134" s="8" t="n">
        <v>211818</v>
      </c>
      <c r="T134" s="10" t="n">
        <v>52.8</v>
      </c>
      <c r="U134" s="9" t="n">
        <v>8</v>
      </c>
      <c r="V134" s="3" t="s">
        <v>83</v>
      </c>
      <c r="W134" s="9" t="n">
        <v>1</v>
      </c>
      <c r="Z134" s="3" t="s">
        <v>56</v>
      </c>
      <c r="AA134" s="3" t="s">
        <v>382</v>
      </c>
      <c r="AB134" s="11" t="n">
        <v>46127</v>
      </c>
    </row>
    <row r="135" customFormat="false" ht="15" hidden="false" customHeight="false" outlineLevel="0" collapsed="false">
      <c r="A135" s="3" t="s">
        <v>539</v>
      </c>
      <c r="B135" s="3" t="s">
        <v>378</v>
      </c>
      <c r="C135" s="3" t="s">
        <v>270</v>
      </c>
      <c r="D135" s="3" t="s">
        <v>379</v>
      </c>
      <c r="E135" s="3" t="s">
        <v>540</v>
      </c>
      <c r="F135" s="3" t="s">
        <v>51</v>
      </c>
      <c r="G135" s="3" t="s">
        <v>52</v>
      </c>
      <c r="H135" s="3" t="s">
        <v>53</v>
      </c>
      <c r="I135" s="3" t="s">
        <v>541</v>
      </c>
      <c r="M135" s="8" t="n">
        <v>347506</v>
      </c>
      <c r="P135" s="9" t="n">
        <v>47</v>
      </c>
      <c r="Q135" s="9" t="n">
        <v>2.2</v>
      </c>
      <c r="R135" s="9" t="n">
        <v>2</v>
      </c>
      <c r="S135" s="8" t="n">
        <v>414896</v>
      </c>
      <c r="T135" s="10" t="n">
        <v>48</v>
      </c>
      <c r="U135" s="9" t="n">
        <v>7</v>
      </c>
      <c r="V135" s="3" t="s">
        <v>62</v>
      </c>
      <c r="W135" s="9" t="n">
        <v>1</v>
      </c>
      <c r="Z135" s="3" t="s">
        <v>56</v>
      </c>
      <c r="AA135" s="3" t="s">
        <v>382</v>
      </c>
      <c r="AB135" s="11" t="n">
        <v>46127</v>
      </c>
    </row>
    <row r="136" customFormat="false" ht="15" hidden="false" customHeight="false" outlineLevel="0" collapsed="false">
      <c r="A136" s="3" t="s">
        <v>542</v>
      </c>
      <c r="B136" s="3" t="s">
        <v>378</v>
      </c>
      <c r="C136" s="3" t="s">
        <v>274</v>
      </c>
      <c r="D136" s="3" t="s">
        <v>384</v>
      </c>
      <c r="E136" s="3" t="s">
        <v>543</v>
      </c>
      <c r="F136" s="3" t="s">
        <v>51</v>
      </c>
      <c r="G136" s="3" t="s">
        <v>52</v>
      </c>
      <c r="H136" s="3" t="s">
        <v>53</v>
      </c>
      <c r="I136" s="3" t="s">
        <v>544</v>
      </c>
      <c r="M136" s="8" t="n">
        <v>1035011</v>
      </c>
      <c r="P136" s="9" t="n">
        <v>38</v>
      </c>
      <c r="Q136" s="9" t="n">
        <v>29.3</v>
      </c>
      <c r="R136" s="9" t="n">
        <v>1</v>
      </c>
      <c r="S136" s="8" t="n">
        <v>453819</v>
      </c>
      <c r="T136" s="10" t="n">
        <v>32.1</v>
      </c>
      <c r="U136" s="9" t="n">
        <v>2</v>
      </c>
      <c r="V136" s="3" t="s">
        <v>83</v>
      </c>
      <c r="W136" s="9" t="n">
        <v>1</v>
      </c>
      <c r="Z136" s="3" t="s">
        <v>56</v>
      </c>
      <c r="AA136" s="3" t="s">
        <v>382</v>
      </c>
      <c r="AB136" s="11" t="n">
        <v>46127</v>
      </c>
    </row>
    <row r="137" customFormat="false" ht="15" hidden="false" customHeight="false" outlineLevel="0" collapsed="false">
      <c r="A137" s="3" t="s">
        <v>545</v>
      </c>
      <c r="B137" s="3" t="s">
        <v>378</v>
      </c>
      <c r="C137" s="3" t="s">
        <v>278</v>
      </c>
      <c r="D137" s="3" t="s">
        <v>384</v>
      </c>
      <c r="E137" s="3" t="s">
        <v>546</v>
      </c>
      <c r="F137" s="3" t="s">
        <v>51</v>
      </c>
      <c r="G137" s="3" t="s">
        <v>52</v>
      </c>
      <c r="H137" s="3" t="s">
        <v>53</v>
      </c>
      <c r="I137" s="3" t="s">
        <v>547</v>
      </c>
      <c r="M137" s="8" t="n">
        <v>63911</v>
      </c>
      <c r="P137" s="9" t="n">
        <v>47</v>
      </c>
      <c r="Q137" s="9" t="n">
        <v>20.8</v>
      </c>
      <c r="R137" s="9" t="n">
        <v>1</v>
      </c>
      <c r="S137" s="8" t="n">
        <v>139745</v>
      </c>
      <c r="T137" s="10" t="n">
        <v>34.5</v>
      </c>
      <c r="U137" s="9" t="n">
        <v>8</v>
      </c>
      <c r="V137" s="3" t="s">
        <v>83</v>
      </c>
      <c r="W137" s="9" t="n">
        <v>1</v>
      </c>
      <c r="Z137" s="3" t="s">
        <v>56</v>
      </c>
      <c r="AA137" s="3" t="s">
        <v>382</v>
      </c>
      <c r="AB137" s="11" t="n">
        <v>46127</v>
      </c>
    </row>
    <row r="138" customFormat="false" ht="15" hidden="false" customHeight="false" outlineLevel="0" collapsed="false">
      <c r="A138" s="3" t="s">
        <v>548</v>
      </c>
      <c r="B138" s="3" t="s">
        <v>378</v>
      </c>
      <c r="C138" s="3" t="s">
        <v>282</v>
      </c>
      <c r="D138" s="3" t="s">
        <v>391</v>
      </c>
      <c r="E138" s="3" t="s">
        <v>549</v>
      </c>
      <c r="F138" s="3" t="s">
        <v>51</v>
      </c>
      <c r="G138" s="3" t="s">
        <v>52</v>
      </c>
      <c r="H138" s="3" t="s">
        <v>53</v>
      </c>
      <c r="I138" s="3" t="s">
        <v>550</v>
      </c>
      <c r="M138" s="8" t="n">
        <v>297762</v>
      </c>
      <c r="P138" s="9" t="n">
        <v>35</v>
      </c>
      <c r="Q138" s="9" t="n">
        <v>16.1</v>
      </c>
      <c r="R138" s="9" t="n">
        <v>1</v>
      </c>
      <c r="S138" s="8" t="n">
        <v>482254</v>
      </c>
      <c r="T138" s="10" t="n">
        <v>69.6</v>
      </c>
      <c r="U138" s="9" t="n">
        <v>8</v>
      </c>
      <c r="V138" s="3" t="s">
        <v>55</v>
      </c>
      <c r="W138" s="9" t="n">
        <v>1</v>
      </c>
      <c r="Z138" s="3" t="s">
        <v>56</v>
      </c>
      <c r="AA138" s="3" t="s">
        <v>382</v>
      </c>
      <c r="AB138" s="11" t="n">
        <v>46127</v>
      </c>
    </row>
    <row r="139" customFormat="false" ht="15" hidden="false" customHeight="false" outlineLevel="0" collapsed="false">
      <c r="A139" s="3" t="s">
        <v>551</v>
      </c>
      <c r="B139" s="3" t="s">
        <v>378</v>
      </c>
      <c r="C139" s="3" t="s">
        <v>286</v>
      </c>
      <c r="D139" s="3" t="s">
        <v>391</v>
      </c>
      <c r="E139" s="3" t="s">
        <v>552</v>
      </c>
      <c r="F139" s="3" t="s">
        <v>51</v>
      </c>
      <c r="G139" s="3" t="s">
        <v>52</v>
      </c>
      <c r="H139" s="3" t="s">
        <v>53</v>
      </c>
      <c r="I139" s="3" t="s">
        <v>553</v>
      </c>
      <c r="M139" s="8" t="n">
        <v>159021</v>
      </c>
      <c r="P139" s="9" t="n">
        <v>70</v>
      </c>
      <c r="Q139" s="9" t="n">
        <v>19.6</v>
      </c>
      <c r="R139" s="9" t="n">
        <v>1</v>
      </c>
      <c r="S139" s="8" t="n">
        <v>313606</v>
      </c>
      <c r="T139" s="10" t="n">
        <v>51.4</v>
      </c>
      <c r="U139" s="9" t="n">
        <v>8</v>
      </c>
      <c r="V139" s="3" t="s">
        <v>55</v>
      </c>
      <c r="W139" s="9" t="n">
        <v>1</v>
      </c>
      <c r="Z139" s="3" t="s">
        <v>56</v>
      </c>
      <c r="AA139" s="3" t="s">
        <v>382</v>
      </c>
      <c r="AB139" s="11" t="n">
        <v>46127</v>
      </c>
    </row>
    <row r="140" customFormat="false" ht="15" hidden="false" customHeight="false" outlineLevel="0" collapsed="false">
      <c r="A140" s="3" t="s">
        <v>554</v>
      </c>
      <c r="B140" s="3" t="s">
        <v>378</v>
      </c>
      <c r="C140" s="3" t="s">
        <v>290</v>
      </c>
      <c r="D140" s="3" t="s">
        <v>384</v>
      </c>
      <c r="E140" s="3" t="s">
        <v>555</v>
      </c>
      <c r="F140" s="3" t="s">
        <v>51</v>
      </c>
      <c r="G140" s="3" t="s">
        <v>52</v>
      </c>
      <c r="H140" s="3" t="s">
        <v>53</v>
      </c>
      <c r="I140" s="3" t="s">
        <v>556</v>
      </c>
      <c r="M140" s="8" t="n">
        <v>801556</v>
      </c>
      <c r="P140" s="9" t="n">
        <v>70</v>
      </c>
      <c r="Q140" s="9" t="n">
        <v>22.1</v>
      </c>
      <c r="R140" s="9" t="n">
        <v>1</v>
      </c>
      <c r="S140" s="8" t="n">
        <v>776196</v>
      </c>
      <c r="T140" s="10" t="n">
        <v>29.8</v>
      </c>
      <c r="U140" s="9" t="n">
        <v>1</v>
      </c>
      <c r="V140" s="3" t="s">
        <v>62</v>
      </c>
      <c r="W140" s="9" t="n">
        <v>1</v>
      </c>
      <c r="Z140" s="3" t="s">
        <v>56</v>
      </c>
      <c r="AA140" s="3" t="s">
        <v>382</v>
      </c>
      <c r="AB140" s="11" t="n">
        <v>46127</v>
      </c>
    </row>
    <row r="141" customFormat="false" ht="15" hidden="false" customHeight="false" outlineLevel="0" collapsed="false">
      <c r="A141" s="3" t="s">
        <v>557</v>
      </c>
      <c r="B141" s="3" t="s">
        <v>378</v>
      </c>
      <c r="C141" s="3" t="s">
        <v>294</v>
      </c>
      <c r="D141" s="3" t="s">
        <v>391</v>
      </c>
      <c r="E141" s="3" t="s">
        <v>558</v>
      </c>
      <c r="F141" s="3" t="s">
        <v>51</v>
      </c>
      <c r="G141" s="3" t="s">
        <v>52</v>
      </c>
      <c r="H141" s="3" t="s">
        <v>53</v>
      </c>
      <c r="I141" s="3" t="s">
        <v>559</v>
      </c>
      <c r="M141" s="8" t="n">
        <v>539520</v>
      </c>
      <c r="P141" s="9" t="n">
        <v>57</v>
      </c>
      <c r="Q141" s="9" t="n">
        <v>3.1</v>
      </c>
      <c r="R141" s="9" t="n">
        <v>1</v>
      </c>
      <c r="S141" s="8" t="n">
        <v>444429</v>
      </c>
      <c r="T141" s="10" t="n">
        <v>90.1</v>
      </c>
      <c r="U141" s="9" t="n">
        <v>7</v>
      </c>
      <c r="V141" s="3" t="s">
        <v>55</v>
      </c>
      <c r="W141" s="9" t="n">
        <v>1</v>
      </c>
      <c r="Z141" s="3" t="s">
        <v>56</v>
      </c>
      <c r="AA141" s="3" t="s">
        <v>382</v>
      </c>
      <c r="AB141" s="11" t="n">
        <v>46127</v>
      </c>
    </row>
    <row r="142" customFormat="false" ht="15" hidden="false" customHeight="false" outlineLevel="0" collapsed="false">
      <c r="A142" s="3" t="s">
        <v>560</v>
      </c>
      <c r="B142" s="3" t="s">
        <v>378</v>
      </c>
      <c r="C142" s="3" t="s">
        <v>298</v>
      </c>
      <c r="D142" s="3" t="s">
        <v>391</v>
      </c>
      <c r="E142" s="3" t="s">
        <v>561</v>
      </c>
      <c r="F142" s="3" t="s">
        <v>51</v>
      </c>
      <c r="G142" s="3" t="s">
        <v>52</v>
      </c>
      <c r="H142" s="3" t="s">
        <v>53</v>
      </c>
      <c r="I142" s="3" t="s">
        <v>562</v>
      </c>
      <c r="M142" s="8" t="n">
        <v>223668</v>
      </c>
      <c r="P142" s="9" t="n">
        <v>75</v>
      </c>
      <c r="Q142" s="9" t="n">
        <v>14.3</v>
      </c>
      <c r="R142" s="9" t="n">
        <v>1</v>
      </c>
      <c r="S142" s="8" t="n">
        <v>499958</v>
      </c>
      <c r="T142" s="10" t="n">
        <v>82</v>
      </c>
      <c r="U142" s="9" t="n">
        <v>10</v>
      </c>
      <c r="V142" s="3" t="s">
        <v>83</v>
      </c>
      <c r="W142" s="9" t="n">
        <v>1</v>
      </c>
      <c r="Z142" s="3" t="s">
        <v>56</v>
      </c>
      <c r="AA142" s="3" t="s">
        <v>382</v>
      </c>
      <c r="AB142" s="11" t="n">
        <v>46127</v>
      </c>
    </row>
    <row r="143" customFormat="false" ht="15" hidden="false" customHeight="false" outlineLevel="0" collapsed="false">
      <c r="A143" s="3" t="s">
        <v>563</v>
      </c>
      <c r="B143" s="3" t="s">
        <v>378</v>
      </c>
      <c r="C143" s="3" t="s">
        <v>302</v>
      </c>
      <c r="D143" s="3" t="s">
        <v>379</v>
      </c>
      <c r="E143" s="3" t="s">
        <v>564</v>
      </c>
      <c r="F143" s="3" t="s">
        <v>51</v>
      </c>
      <c r="G143" s="3" t="s">
        <v>52</v>
      </c>
      <c r="H143" s="3" t="s">
        <v>53</v>
      </c>
      <c r="I143" s="3" t="s">
        <v>565</v>
      </c>
      <c r="M143" s="8" t="n">
        <v>251301</v>
      </c>
      <c r="P143" s="9" t="n">
        <v>45</v>
      </c>
      <c r="Q143" s="9" t="n">
        <v>2.5</v>
      </c>
      <c r="R143" s="9" t="n">
        <v>1</v>
      </c>
      <c r="S143" s="8" t="n">
        <v>135280</v>
      </c>
      <c r="T143" s="10" t="n">
        <v>27.2</v>
      </c>
      <c r="U143" s="9" t="n">
        <v>6</v>
      </c>
      <c r="V143" s="3" t="s">
        <v>83</v>
      </c>
      <c r="W143" s="9" t="n">
        <v>1</v>
      </c>
      <c r="Z143" s="3" t="s">
        <v>56</v>
      </c>
      <c r="AA143" s="3" t="s">
        <v>382</v>
      </c>
      <c r="AB143" s="11" t="n">
        <v>46127</v>
      </c>
    </row>
    <row r="144" customFormat="false" ht="15" hidden="false" customHeight="false" outlineLevel="0" collapsed="false">
      <c r="A144" s="3" t="s">
        <v>566</v>
      </c>
      <c r="B144" s="3" t="s">
        <v>378</v>
      </c>
      <c r="C144" s="3" t="s">
        <v>306</v>
      </c>
      <c r="D144" s="3" t="s">
        <v>379</v>
      </c>
      <c r="E144" s="3" t="s">
        <v>567</v>
      </c>
      <c r="F144" s="3" t="s">
        <v>51</v>
      </c>
      <c r="G144" s="3" t="s">
        <v>52</v>
      </c>
      <c r="H144" s="3" t="s">
        <v>53</v>
      </c>
      <c r="I144" s="3" t="s">
        <v>568</v>
      </c>
      <c r="M144" s="8" t="n">
        <v>849717</v>
      </c>
      <c r="P144" s="9" t="n">
        <v>52</v>
      </c>
      <c r="Q144" s="9" t="n">
        <v>16.3</v>
      </c>
      <c r="R144" s="9" t="n">
        <v>1</v>
      </c>
      <c r="S144" s="8" t="n">
        <v>350123</v>
      </c>
      <c r="T144" s="10" t="n">
        <v>79.1</v>
      </c>
      <c r="U144" s="9" t="n">
        <v>6</v>
      </c>
      <c r="V144" s="3" t="s">
        <v>92</v>
      </c>
      <c r="W144" s="9" t="n">
        <v>1</v>
      </c>
      <c r="Z144" s="3" t="s">
        <v>56</v>
      </c>
      <c r="AA144" s="3" t="s">
        <v>382</v>
      </c>
      <c r="AB144" s="11" t="n">
        <v>46127</v>
      </c>
    </row>
    <row r="145" customFormat="false" ht="15" hidden="false" customHeight="false" outlineLevel="0" collapsed="false">
      <c r="A145" s="3" t="s">
        <v>569</v>
      </c>
      <c r="B145" s="3" t="s">
        <v>378</v>
      </c>
      <c r="C145" s="3" t="s">
        <v>310</v>
      </c>
      <c r="D145" s="3" t="s">
        <v>379</v>
      </c>
      <c r="E145" s="3" t="s">
        <v>570</v>
      </c>
      <c r="F145" s="3" t="s">
        <v>51</v>
      </c>
      <c r="G145" s="3" t="s">
        <v>52</v>
      </c>
      <c r="H145" s="3" t="s">
        <v>53</v>
      </c>
      <c r="I145" s="3" t="s">
        <v>571</v>
      </c>
      <c r="M145" s="8" t="n">
        <v>574223</v>
      </c>
      <c r="P145" s="9" t="n">
        <v>36</v>
      </c>
      <c r="Q145" s="9" t="n">
        <v>8.1</v>
      </c>
      <c r="R145" s="9" t="n">
        <v>1</v>
      </c>
      <c r="S145" s="8" t="n">
        <v>652330</v>
      </c>
      <c r="T145" s="10" t="n">
        <v>31.6</v>
      </c>
      <c r="U145" s="9" t="n">
        <v>7</v>
      </c>
      <c r="V145" s="3" t="s">
        <v>62</v>
      </c>
      <c r="W145" s="9" t="n">
        <v>1</v>
      </c>
      <c r="Z145" s="3" t="s">
        <v>56</v>
      </c>
      <c r="AA145" s="3" t="s">
        <v>382</v>
      </c>
      <c r="AB145" s="11" t="n">
        <v>46127</v>
      </c>
    </row>
    <row r="146" customFormat="false" ht="15" hidden="false" customHeight="false" outlineLevel="0" collapsed="false">
      <c r="A146" s="3" t="s">
        <v>572</v>
      </c>
      <c r="B146" s="3" t="s">
        <v>378</v>
      </c>
      <c r="C146" s="3" t="s">
        <v>314</v>
      </c>
      <c r="D146" s="3" t="s">
        <v>379</v>
      </c>
      <c r="E146" s="3" t="s">
        <v>573</v>
      </c>
      <c r="F146" s="3" t="s">
        <v>51</v>
      </c>
      <c r="G146" s="3" t="s">
        <v>52</v>
      </c>
      <c r="H146" s="3" t="s">
        <v>53</v>
      </c>
      <c r="I146" s="3" t="s">
        <v>574</v>
      </c>
      <c r="M146" s="8" t="n">
        <v>249411</v>
      </c>
      <c r="P146" s="9" t="n">
        <v>73</v>
      </c>
      <c r="Q146" s="9" t="n">
        <v>21.2</v>
      </c>
      <c r="R146" s="9" t="n">
        <v>1</v>
      </c>
      <c r="S146" s="8" t="n">
        <v>520747</v>
      </c>
      <c r="T146" s="10" t="n">
        <v>26.9</v>
      </c>
      <c r="U146" s="9" t="n">
        <v>1</v>
      </c>
      <c r="V146" s="3" t="s">
        <v>55</v>
      </c>
      <c r="W146" s="9" t="n">
        <v>1</v>
      </c>
      <c r="Z146" s="3" t="s">
        <v>56</v>
      </c>
      <c r="AA146" s="3" t="s">
        <v>382</v>
      </c>
      <c r="AB146" s="11" t="n">
        <v>46127</v>
      </c>
    </row>
    <row r="147" customFormat="false" ht="15" hidden="false" customHeight="false" outlineLevel="0" collapsed="false">
      <c r="A147" s="3" t="s">
        <v>575</v>
      </c>
      <c r="B147" s="3" t="s">
        <v>378</v>
      </c>
      <c r="C147" s="3" t="s">
        <v>318</v>
      </c>
      <c r="D147" s="3" t="s">
        <v>384</v>
      </c>
      <c r="E147" s="3" t="s">
        <v>576</v>
      </c>
      <c r="F147" s="3" t="s">
        <v>51</v>
      </c>
      <c r="G147" s="3" t="s">
        <v>52</v>
      </c>
      <c r="H147" s="3" t="s">
        <v>53</v>
      </c>
      <c r="I147" s="3" t="s">
        <v>577</v>
      </c>
      <c r="M147" s="8" t="n">
        <v>224381</v>
      </c>
      <c r="P147" s="9" t="n">
        <v>49</v>
      </c>
      <c r="Q147" s="9" t="n">
        <v>21.1</v>
      </c>
      <c r="R147" s="9" t="n">
        <v>3</v>
      </c>
      <c r="S147" s="8" t="n">
        <v>2337026</v>
      </c>
      <c r="T147" s="10" t="n">
        <v>26.3</v>
      </c>
      <c r="U147" s="9" t="n">
        <v>5</v>
      </c>
      <c r="V147" s="3" t="s">
        <v>55</v>
      </c>
      <c r="W147" s="9" t="n">
        <v>1</v>
      </c>
      <c r="Z147" s="3" t="s">
        <v>56</v>
      </c>
      <c r="AA147" s="3" t="s">
        <v>382</v>
      </c>
      <c r="AB147" s="11" t="n">
        <v>46127</v>
      </c>
    </row>
    <row r="148" customFormat="false" ht="15" hidden="false" customHeight="false" outlineLevel="0" collapsed="false">
      <c r="A148" s="3" t="s">
        <v>578</v>
      </c>
      <c r="B148" s="3" t="s">
        <v>378</v>
      </c>
      <c r="C148" s="3" t="s">
        <v>322</v>
      </c>
      <c r="D148" s="3" t="s">
        <v>379</v>
      </c>
      <c r="E148" s="3" t="s">
        <v>579</v>
      </c>
      <c r="F148" s="3" t="s">
        <v>51</v>
      </c>
      <c r="G148" s="3" t="s">
        <v>52</v>
      </c>
      <c r="H148" s="3" t="s">
        <v>53</v>
      </c>
      <c r="I148" s="3" t="s">
        <v>580</v>
      </c>
      <c r="M148" s="8" t="n">
        <v>454805</v>
      </c>
      <c r="P148" s="9" t="n">
        <v>61</v>
      </c>
      <c r="Q148" s="9" t="n">
        <v>16.9</v>
      </c>
      <c r="R148" s="9" t="n">
        <v>1</v>
      </c>
      <c r="S148" s="8" t="n">
        <v>928375</v>
      </c>
      <c r="T148" s="10" t="n">
        <v>47.3</v>
      </c>
      <c r="U148" s="9" t="n">
        <v>6</v>
      </c>
      <c r="V148" s="3" t="s">
        <v>92</v>
      </c>
      <c r="W148" s="9" t="n">
        <v>1</v>
      </c>
      <c r="Z148" s="3" t="s">
        <v>56</v>
      </c>
      <c r="AA148" s="3" t="s">
        <v>382</v>
      </c>
      <c r="AB148" s="11" t="n">
        <v>46127</v>
      </c>
    </row>
    <row r="149" customFormat="false" ht="15" hidden="false" customHeight="false" outlineLevel="0" collapsed="false">
      <c r="A149" s="3" t="s">
        <v>581</v>
      </c>
      <c r="B149" s="3" t="s">
        <v>378</v>
      </c>
      <c r="C149" s="3" t="s">
        <v>326</v>
      </c>
      <c r="D149" s="3" t="s">
        <v>384</v>
      </c>
      <c r="E149" s="3" t="s">
        <v>582</v>
      </c>
      <c r="F149" s="3" t="s">
        <v>51</v>
      </c>
      <c r="G149" s="3" t="s">
        <v>52</v>
      </c>
      <c r="H149" s="3" t="s">
        <v>53</v>
      </c>
      <c r="I149" s="3" t="s">
        <v>583</v>
      </c>
      <c r="M149" s="8" t="n">
        <v>177300</v>
      </c>
      <c r="P149" s="9" t="n">
        <v>51</v>
      </c>
      <c r="Q149" s="9" t="n">
        <v>24.5</v>
      </c>
      <c r="R149" s="9" t="n">
        <v>1</v>
      </c>
      <c r="S149" s="8" t="n">
        <v>370561</v>
      </c>
      <c r="T149" s="10" t="n">
        <v>87.1</v>
      </c>
      <c r="U149" s="9" t="n">
        <v>2</v>
      </c>
      <c r="V149" s="3" t="s">
        <v>92</v>
      </c>
      <c r="W149" s="9" t="n">
        <v>1</v>
      </c>
      <c r="Z149" s="3" t="s">
        <v>56</v>
      </c>
      <c r="AA149" s="3" t="s">
        <v>382</v>
      </c>
      <c r="AB149" s="11" t="n">
        <v>46127</v>
      </c>
    </row>
    <row r="150" customFormat="false" ht="15" hidden="false" customHeight="false" outlineLevel="0" collapsed="false">
      <c r="A150" s="3" t="s">
        <v>584</v>
      </c>
      <c r="B150" s="3" t="s">
        <v>378</v>
      </c>
      <c r="C150" s="3" t="s">
        <v>330</v>
      </c>
      <c r="D150" s="3" t="s">
        <v>379</v>
      </c>
      <c r="E150" s="3" t="s">
        <v>585</v>
      </c>
      <c r="F150" s="3" t="s">
        <v>51</v>
      </c>
      <c r="G150" s="3" t="s">
        <v>52</v>
      </c>
      <c r="H150" s="3" t="s">
        <v>53</v>
      </c>
      <c r="I150" s="3" t="s">
        <v>586</v>
      </c>
      <c r="M150" s="8" t="n">
        <v>212308</v>
      </c>
      <c r="P150" s="9" t="n">
        <v>47</v>
      </c>
      <c r="Q150" s="9" t="n">
        <v>15.3</v>
      </c>
      <c r="R150" s="9" t="n">
        <v>1</v>
      </c>
      <c r="S150" s="8" t="n">
        <v>141106</v>
      </c>
      <c r="T150" s="10" t="n">
        <v>89</v>
      </c>
      <c r="U150" s="9" t="n">
        <v>9</v>
      </c>
      <c r="V150" s="3" t="s">
        <v>55</v>
      </c>
      <c r="W150" s="9" t="n">
        <v>1</v>
      </c>
      <c r="Z150" s="3" t="s">
        <v>56</v>
      </c>
      <c r="AA150" s="3" t="s">
        <v>382</v>
      </c>
      <c r="AB150" s="11" t="n">
        <v>46127</v>
      </c>
    </row>
    <row r="151" customFormat="false" ht="15" hidden="false" customHeight="false" outlineLevel="0" collapsed="false">
      <c r="A151" s="3" t="s">
        <v>587</v>
      </c>
      <c r="B151" s="3" t="s">
        <v>378</v>
      </c>
      <c r="C151" s="3" t="s">
        <v>334</v>
      </c>
      <c r="D151" s="3" t="s">
        <v>384</v>
      </c>
      <c r="E151" s="3" t="s">
        <v>588</v>
      </c>
      <c r="F151" s="3" t="s">
        <v>51</v>
      </c>
      <c r="G151" s="3" t="s">
        <v>52</v>
      </c>
      <c r="H151" s="3" t="s">
        <v>53</v>
      </c>
      <c r="I151" s="3" t="s">
        <v>589</v>
      </c>
      <c r="M151" s="8" t="n">
        <v>372402</v>
      </c>
      <c r="P151" s="9" t="n">
        <v>72</v>
      </c>
      <c r="Q151" s="9" t="n">
        <v>20.7</v>
      </c>
      <c r="R151" s="9" t="n">
        <v>1</v>
      </c>
      <c r="S151" s="8" t="n">
        <v>291062</v>
      </c>
      <c r="T151" s="10" t="n">
        <v>65.3</v>
      </c>
      <c r="U151" s="9" t="n">
        <v>8</v>
      </c>
      <c r="V151" s="3" t="s">
        <v>55</v>
      </c>
      <c r="W151" s="9" t="n">
        <v>1</v>
      </c>
      <c r="Z151" s="3" t="s">
        <v>56</v>
      </c>
      <c r="AA151" s="3" t="s">
        <v>382</v>
      </c>
      <c r="AB151" s="11" t="n">
        <v>46127</v>
      </c>
    </row>
    <row r="152" customFormat="false" ht="15" hidden="false" customHeight="false" outlineLevel="0" collapsed="false">
      <c r="A152" s="3" t="s">
        <v>590</v>
      </c>
      <c r="B152" s="3" t="s">
        <v>378</v>
      </c>
      <c r="C152" s="3" t="s">
        <v>338</v>
      </c>
      <c r="D152" s="3" t="s">
        <v>391</v>
      </c>
      <c r="E152" s="3" t="s">
        <v>591</v>
      </c>
      <c r="F152" s="3" t="s">
        <v>51</v>
      </c>
      <c r="G152" s="3" t="s">
        <v>52</v>
      </c>
      <c r="H152" s="3" t="s">
        <v>53</v>
      </c>
      <c r="I152" s="3" t="s">
        <v>592</v>
      </c>
      <c r="M152" s="8" t="n">
        <v>265006</v>
      </c>
      <c r="P152" s="9" t="n">
        <v>71</v>
      </c>
      <c r="Q152" s="9" t="n">
        <v>22.9</v>
      </c>
      <c r="R152" s="9" t="n">
        <v>3</v>
      </c>
      <c r="S152" s="8" t="n">
        <v>912591</v>
      </c>
      <c r="T152" s="10" t="n">
        <v>85.8</v>
      </c>
      <c r="U152" s="9" t="n">
        <v>8</v>
      </c>
      <c r="V152" s="3" t="s">
        <v>62</v>
      </c>
      <c r="W152" s="9" t="n">
        <v>1</v>
      </c>
      <c r="Z152" s="3" t="s">
        <v>56</v>
      </c>
      <c r="AA152" s="3" t="s">
        <v>382</v>
      </c>
      <c r="AB152" s="11" t="n">
        <v>46127</v>
      </c>
    </row>
    <row r="153" customFormat="false" ht="15" hidden="false" customHeight="false" outlineLevel="0" collapsed="false">
      <c r="A153" s="3" t="s">
        <v>593</v>
      </c>
      <c r="B153" s="3" t="s">
        <v>378</v>
      </c>
      <c r="C153" s="3" t="s">
        <v>342</v>
      </c>
      <c r="D153" s="3" t="s">
        <v>379</v>
      </c>
      <c r="E153" s="3" t="s">
        <v>594</v>
      </c>
      <c r="F153" s="3" t="s">
        <v>51</v>
      </c>
      <c r="G153" s="3" t="s">
        <v>52</v>
      </c>
      <c r="H153" s="3" t="s">
        <v>53</v>
      </c>
      <c r="I153" s="3" t="s">
        <v>595</v>
      </c>
      <c r="M153" s="8" t="n">
        <v>390983</v>
      </c>
      <c r="P153" s="9" t="n">
        <v>56</v>
      </c>
      <c r="Q153" s="9" t="n">
        <v>5.1</v>
      </c>
      <c r="R153" s="9" t="n">
        <v>3</v>
      </c>
      <c r="S153" s="8" t="n">
        <v>281918</v>
      </c>
      <c r="T153" s="10" t="n">
        <v>81.6</v>
      </c>
      <c r="U153" s="9" t="n">
        <v>3</v>
      </c>
      <c r="V153" s="3" t="s">
        <v>55</v>
      </c>
      <c r="W153" s="9" t="n">
        <v>1</v>
      </c>
      <c r="Z153" s="3" t="s">
        <v>56</v>
      </c>
      <c r="AA153" s="3" t="s">
        <v>382</v>
      </c>
      <c r="AB153" s="11" t="n">
        <v>46127</v>
      </c>
    </row>
    <row r="154" customFormat="false" ht="15" hidden="false" customHeight="false" outlineLevel="0" collapsed="false">
      <c r="A154" s="3" t="s">
        <v>596</v>
      </c>
      <c r="B154" s="3" t="s">
        <v>378</v>
      </c>
      <c r="C154" s="3" t="s">
        <v>346</v>
      </c>
      <c r="D154" s="3" t="s">
        <v>384</v>
      </c>
      <c r="E154" s="3" t="s">
        <v>597</v>
      </c>
      <c r="F154" s="3" t="s">
        <v>51</v>
      </c>
      <c r="G154" s="3" t="s">
        <v>52</v>
      </c>
      <c r="H154" s="3" t="s">
        <v>53</v>
      </c>
      <c r="I154" s="3" t="s">
        <v>598</v>
      </c>
      <c r="M154" s="8" t="n">
        <v>377345</v>
      </c>
      <c r="P154" s="9" t="n">
        <v>58</v>
      </c>
      <c r="Q154" s="9" t="n">
        <v>28.6</v>
      </c>
      <c r="R154" s="9" t="n">
        <v>1</v>
      </c>
      <c r="S154" s="8" t="n">
        <v>285739</v>
      </c>
      <c r="T154" s="10" t="n">
        <v>31.3</v>
      </c>
      <c r="U154" s="9" t="n">
        <v>1</v>
      </c>
      <c r="V154" s="3" t="s">
        <v>92</v>
      </c>
      <c r="W154" s="9" t="n">
        <v>1</v>
      </c>
      <c r="Z154" s="3" t="s">
        <v>56</v>
      </c>
      <c r="AA154" s="3" t="s">
        <v>382</v>
      </c>
      <c r="AB154" s="11" t="n">
        <v>46127</v>
      </c>
    </row>
    <row r="155" customFormat="false" ht="15" hidden="false" customHeight="false" outlineLevel="0" collapsed="false">
      <c r="A155" s="3" t="s">
        <v>599</v>
      </c>
      <c r="B155" s="3" t="s">
        <v>378</v>
      </c>
      <c r="C155" s="3" t="s">
        <v>350</v>
      </c>
      <c r="D155" s="3" t="s">
        <v>391</v>
      </c>
      <c r="E155" s="3" t="s">
        <v>600</v>
      </c>
      <c r="F155" s="3" t="s">
        <v>51</v>
      </c>
      <c r="G155" s="3" t="s">
        <v>52</v>
      </c>
      <c r="H155" s="3" t="s">
        <v>53</v>
      </c>
      <c r="I155" s="3" t="s">
        <v>601</v>
      </c>
      <c r="M155" s="8" t="n">
        <v>149958</v>
      </c>
      <c r="P155" s="9" t="n">
        <v>42</v>
      </c>
      <c r="Q155" s="9" t="n">
        <v>22.2</v>
      </c>
      <c r="R155" s="9" t="n">
        <v>1</v>
      </c>
      <c r="S155" s="8" t="n">
        <v>231962</v>
      </c>
      <c r="T155" s="10" t="n">
        <v>29.9</v>
      </c>
      <c r="U155" s="9" t="n">
        <v>3</v>
      </c>
      <c r="V155" s="3" t="s">
        <v>55</v>
      </c>
      <c r="W155" s="9" t="n">
        <v>1</v>
      </c>
      <c r="Z155" s="3" t="s">
        <v>56</v>
      </c>
      <c r="AA155" s="3" t="s">
        <v>382</v>
      </c>
      <c r="AB155" s="11" t="n">
        <v>46127</v>
      </c>
    </row>
    <row r="156" customFormat="false" ht="15" hidden="false" customHeight="false" outlineLevel="0" collapsed="false">
      <c r="A156" s="3" t="s">
        <v>602</v>
      </c>
      <c r="B156" s="3" t="s">
        <v>378</v>
      </c>
      <c r="C156" s="3" t="s">
        <v>354</v>
      </c>
      <c r="D156" s="3" t="s">
        <v>379</v>
      </c>
      <c r="E156" s="3" t="s">
        <v>603</v>
      </c>
      <c r="F156" s="3" t="s">
        <v>51</v>
      </c>
      <c r="G156" s="3" t="s">
        <v>52</v>
      </c>
      <c r="H156" s="3" t="s">
        <v>53</v>
      </c>
      <c r="I156" s="3" t="s">
        <v>604</v>
      </c>
      <c r="M156" s="8" t="n">
        <v>574385</v>
      </c>
      <c r="P156" s="9" t="n">
        <v>41</v>
      </c>
      <c r="Q156" s="9" t="n">
        <v>20.2</v>
      </c>
      <c r="R156" s="9" t="n">
        <v>3</v>
      </c>
      <c r="S156" s="8" t="n">
        <v>644369</v>
      </c>
      <c r="T156" s="10" t="n">
        <v>54.3</v>
      </c>
      <c r="U156" s="9" t="n">
        <v>7</v>
      </c>
      <c r="V156" s="3" t="s">
        <v>83</v>
      </c>
      <c r="W156" s="9" t="n">
        <v>1</v>
      </c>
      <c r="Z156" s="3" t="s">
        <v>56</v>
      </c>
      <c r="AA156" s="3" t="s">
        <v>382</v>
      </c>
      <c r="AB156" s="11" t="n">
        <v>46127</v>
      </c>
    </row>
    <row r="157" customFormat="false" ht="15" hidden="false" customHeight="false" outlineLevel="0" collapsed="false">
      <c r="A157" s="3" t="s">
        <v>605</v>
      </c>
      <c r="B157" s="3" t="s">
        <v>378</v>
      </c>
      <c r="C157" s="3" t="s">
        <v>358</v>
      </c>
      <c r="D157" s="3" t="s">
        <v>384</v>
      </c>
      <c r="E157" s="3" t="s">
        <v>606</v>
      </c>
      <c r="F157" s="3" t="s">
        <v>51</v>
      </c>
      <c r="G157" s="3" t="s">
        <v>52</v>
      </c>
      <c r="H157" s="3" t="s">
        <v>53</v>
      </c>
      <c r="I157" s="3" t="s">
        <v>607</v>
      </c>
      <c r="M157" s="8" t="n">
        <v>305635</v>
      </c>
      <c r="P157" s="9" t="n">
        <v>72</v>
      </c>
      <c r="Q157" s="9" t="n">
        <v>28.7</v>
      </c>
      <c r="R157" s="9" t="n">
        <v>2</v>
      </c>
      <c r="S157" s="8" t="n">
        <v>177861</v>
      </c>
      <c r="T157" s="10" t="n">
        <v>19.8</v>
      </c>
      <c r="U157" s="9" t="n">
        <v>8</v>
      </c>
      <c r="V157" s="3" t="s">
        <v>55</v>
      </c>
      <c r="W157" s="9" t="n">
        <v>1</v>
      </c>
      <c r="Z157" s="3" t="s">
        <v>56</v>
      </c>
      <c r="AA157" s="3" t="s">
        <v>382</v>
      </c>
      <c r="AB157" s="11" t="n">
        <v>46127</v>
      </c>
    </row>
    <row r="158" customFormat="false" ht="15" hidden="false" customHeight="false" outlineLevel="0" collapsed="false">
      <c r="A158" s="3" t="s">
        <v>608</v>
      </c>
      <c r="B158" s="3" t="s">
        <v>378</v>
      </c>
      <c r="C158" s="3" t="s">
        <v>362</v>
      </c>
      <c r="D158" s="3" t="s">
        <v>391</v>
      </c>
      <c r="E158" s="3" t="s">
        <v>609</v>
      </c>
      <c r="F158" s="3" t="s">
        <v>51</v>
      </c>
      <c r="G158" s="3" t="s">
        <v>52</v>
      </c>
      <c r="H158" s="3" t="s">
        <v>53</v>
      </c>
      <c r="I158" s="3" t="s">
        <v>610</v>
      </c>
      <c r="M158" s="8" t="n">
        <v>366547</v>
      </c>
      <c r="P158" s="9" t="n">
        <v>71</v>
      </c>
      <c r="Q158" s="9" t="n">
        <v>15.9</v>
      </c>
      <c r="R158" s="9" t="n">
        <v>1</v>
      </c>
      <c r="S158" s="8" t="n">
        <v>829334</v>
      </c>
      <c r="T158" s="10" t="n">
        <v>65</v>
      </c>
      <c r="U158" s="9" t="n">
        <v>4</v>
      </c>
      <c r="V158" s="3" t="s">
        <v>62</v>
      </c>
      <c r="W158" s="9" t="n">
        <v>1</v>
      </c>
      <c r="Z158" s="3" t="s">
        <v>56</v>
      </c>
      <c r="AA158" s="3" t="s">
        <v>382</v>
      </c>
      <c r="AB158" s="11" t="n">
        <v>46127</v>
      </c>
    </row>
    <row r="159" customFormat="false" ht="15" hidden="false" customHeight="false" outlineLevel="0" collapsed="false">
      <c r="A159" s="3" t="s">
        <v>611</v>
      </c>
      <c r="B159" s="3" t="s">
        <v>378</v>
      </c>
      <c r="C159" s="3" t="s">
        <v>366</v>
      </c>
      <c r="D159" s="3" t="s">
        <v>391</v>
      </c>
      <c r="E159" s="3" t="s">
        <v>612</v>
      </c>
      <c r="F159" s="3" t="s">
        <v>51</v>
      </c>
      <c r="G159" s="3" t="s">
        <v>52</v>
      </c>
      <c r="H159" s="3" t="s">
        <v>53</v>
      </c>
      <c r="I159" s="3" t="s">
        <v>613</v>
      </c>
      <c r="M159" s="8" t="n">
        <v>506484</v>
      </c>
      <c r="P159" s="9" t="n">
        <v>52</v>
      </c>
      <c r="Q159" s="9" t="n">
        <v>9</v>
      </c>
      <c r="R159" s="9" t="n">
        <v>1</v>
      </c>
      <c r="S159" s="8" t="n">
        <v>220059</v>
      </c>
      <c r="T159" s="10" t="n">
        <v>69</v>
      </c>
      <c r="U159" s="9" t="n">
        <v>5</v>
      </c>
      <c r="V159" s="3" t="s">
        <v>55</v>
      </c>
      <c r="W159" s="9" t="n">
        <v>1</v>
      </c>
      <c r="Z159" s="3" t="s">
        <v>56</v>
      </c>
      <c r="AA159" s="3" t="s">
        <v>382</v>
      </c>
      <c r="AB159" s="11" t="n">
        <v>46127</v>
      </c>
    </row>
    <row r="160" customFormat="false" ht="15" hidden="false" customHeight="false" outlineLevel="0" collapsed="false">
      <c r="A160" s="3" t="s">
        <v>614</v>
      </c>
      <c r="B160" s="3" t="s">
        <v>378</v>
      </c>
      <c r="C160" s="3" t="s">
        <v>370</v>
      </c>
      <c r="D160" s="3" t="s">
        <v>379</v>
      </c>
      <c r="E160" s="3" t="s">
        <v>615</v>
      </c>
      <c r="F160" s="3" t="s">
        <v>51</v>
      </c>
      <c r="G160" s="3" t="s">
        <v>52</v>
      </c>
      <c r="H160" s="3" t="s">
        <v>53</v>
      </c>
      <c r="I160" s="3" t="s">
        <v>616</v>
      </c>
      <c r="M160" s="8" t="n">
        <v>168700</v>
      </c>
      <c r="P160" s="9" t="n">
        <v>60</v>
      </c>
      <c r="Q160" s="9" t="n">
        <v>4.8</v>
      </c>
      <c r="R160" s="9" t="n">
        <v>1</v>
      </c>
      <c r="S160" s="8" t="n">
        <v>377031</v>
      </c>
      <c r="T160" s="10" t="n">
        <v>27.9</v>
      </c>
      <c r="U160" s="9" t="n">
        <v>8</v>
      </c>
      <c r="V160" s="3" t="s">
        <v>83</v>
      </c>
      <c r="W160" s="9" t="n">
        <v>1</v>
      </c>
      <c r="Z160" s="3" t="s">
        <v>56</v>
      </c>
      <c r="AA160" s="3" t="s">
        <v>382</v>
      </c>
      <c r="AB160" s="11" t="n">
        <v>46127</v>
      </c>
    </row>
    <row r="161" customFormat="false" ht="15" hidden="false" customHeight="false" outlineLevel="0" collapsed="false">
      <c r="A161" s="3" t="s">
        <v>617</v>
      </c>
      <c r="B161" s="3" t="s">
        <v>378</v>
      </c>
      <c r="C161" s="3" t="s">
        <v>374</v>
      </c>
      <c r="D161" s="3" t="s">
        <v>391</v>
      </c>
      <c r="E161" s="3" t="s">
        <v>618</v>
      </c>
      <c r="F161" s="3" t="s">
        <v>51</v>
      </c>
      <c r="G161" s="3" t="s">
        <v>52</v>
      </c>
      <c r="H161" s="3" t="s">
        <v>53</v>
      </c>
      <c r="I161" s="3" t="s">
        <v>619</v>
      </c>
      <c r="M161" s="8" t="n">
        <v>451601</v>
      </c>
      <c r="P161" s="9" t="n">
        <v>53</v>
      </c>
      <c r="Q161" s="9" t="n">
        <v>13.9</v>
      </c>
      <c r="R161" s="9" t="n">
        <v>1</v>
      </c>
      <c r="S161" s="8" t="n">
        <v>689381</v>
      </c>
      <c r="T161" s="10" t="n">
        <v>76.9</v>
      </c>
      <c r="U161" s="9" t="n">
        <v>1</v>
      </c>
      <c r="V161" s="3" t="s">
        <v>83</v>
      </c>
      <c r="W161" s="9" t="n">
        <v>1</v>
      </c>
      <c r="Z161" s="3" t="s">
        <v>56</v>
      </c>
      <c r="AA161" s="3" t="s">
        <v>382</v>
      </c>
      <c r="AB161" s="11" t="n">
        <v>46127</v>
      </c>
    </row>
    <row r="162" customFormat="false" ht="15" hidden="false" customHeight="false" outlineLevel="0" collapsed="false">
      <c r="A162" s="3" t="s">
        <v>620</v>
      </c>
      <c r="B162" s="3" t="s">
        <v>48</v>
      </c>
      <c r="C162" s="3" t="s">
        <v>49</v>
      </c>
      <c r="E162" s="3" t="s">
        <v>621</v>
      </c>
      <c r="F162" s="3" t="s">
        <v>622</v>
      </c>
      <c r="G162" s="3" t="s">
        <v>52</v>
      </c>
      <c r="H162" s="3" t="s">
        <v>623</v>
      </c>
      <c r="I162" s="3" t="s">
        <v>417</v>
      </c>
      <c r="M162" s="8" t="n">
        <v>433509</v>
      </c>
      <c r="N162" s="8" t="n">
        <v>289419</v>
      </c>
      <c r="O162" s="9" t="n">
        <v>6.7</v>
      </c>
      <c r="P162" s="9" t="n">
        <v>43</v>
      </c>
      <c r="R162" s="9" t="n">
        <v>3</v>
      </c>
      <c r="T162" s="10" t="n">
        <v>59.5</v>
      </c>
      <c r="U162" s="9" t="n">
        <v>8</v>
      </c>
      <c r="V162" s="3" t="s">
        <v>55</v>
      </c>
      <c r="W162" s="9" t="n">
        <v>1</v>
      </c>
      <c r="Z162" s="3" t="s">
        <v>56</v>
      </c>
      <c r="AA162" s="3" t="s">
        <v>624</v>
      </c>
      <c r="AB162" s="11" t="n">
        <v>46127</v>
      </c>
    </row>
    <row r="163" customFormat="false" ht="15" hidden="false" customHeight="false" outlineLevel="0" collapsed="false">
      <c r="A163" s="3" t="s">
        <v>625</v>
      </c>
      <c r="B163" s="3" t="s">
        <v>48</v>
      </c>
      <c r="C163" s="3" t="s">
        <v>59</v>
      </c>
      <c r="E163" s="3" t="s">
        <v>626</v>
      </c>
      <c r="F163" s="3" t="s">
        <v>622</v>
      </c>
      <c r="G163" s="3" t="s">
        <v>52</v>
      </c>
      <c r="H163" s="3" t="s">
        <v>623</v>
      </c>
      <c r="I163" s="3" t="s">
        <v>627</v>
      </c>
      <c r="M163" s="8" t="n">
        <v>289950</v>
      </c>
      <c r="N163" s="8" t="n">
        <v>276266</v>
      </c>
      <c r="O163" s="9" t="n">
        <v>12.9</v>
      </c>
      <c r="P163" s="9" t="n">
        <v>36</v>
      </c>
      <c r="R163" s="9" t="n">
        <v>3</v>
      </c>
      <c r="T163" s="10" t="n">
        <v>30.5</v>
      </c>
      <c r="U163" s="9" t="n">
        <v>1</v>
      </c>
      <c r="V163" s="3" t="s">
        <v>83</v>
      </c>
      <c r="W163" s="9" t="n">
        <v>1</v>
      </c>
      <c r="Z163" s="3" t="s">
        <v>56</v>
      </c>
      <c r="AA163" s="3" t="s">
        <v>624</v>
      </c>
      <c r="AB163" s="11" t="n">
        <v>46127</v>
      </c>
    </row>
    <row r="164" customFormat="false" ht="15" hidden="false" customHeight="false" outlineLevel="0" collapsed="false">
      <c r="A164" s="3" t="s">
        <v>628</v>
      </c>
      <c r="B164" s="3" t="s">
        <v>48</v>
      </c>
      <c r="C164" s="3" t="s">
        <v>64</v>
      </c>
      <c r="E164" s="3" t="s">
        <v>629</v>
      </c>
      <c r="F164" s="3" t="s">
        <v>622</v>
      </c>
      <c r="G164" s="3" t="s">
        <v>52</v>
      </c>
      <c r="H164" s="3" t="s">
        <v>623</v>
      </c>
      <c r="I164" s="3" t="s">
        <v>630</v>
      </c>
      <c r="M164" s="8" t="n">
        <v>262895</v>
      </c>
      <c r="N164" s="8" t="n">
        <v>133976</v>
      </c>
      <c r="O164" s="9" t="n">
        <v>17.8</v>
      </c>
      <c r="P164" s="9" t="n">
        <v>57</v>
      </c>
      <c r="R164" s="9" t="n">
        <v>1</v>
      </c>
      <c r="T164" s="10" t="n">
        <v>33.6</v>
      </c>
      <c r="U164" s="9" t="n">
        <v>8</v>
      </c>
      <c r="V164" s="3" t="s">
        <v>62</v>
      </c>
      <c r="W164" s="9" t="n">
        <v>1</v>
      </c>
      <c r="Z164" s="3" t="s">
        <v>56</v>
      </c>
      <c r="AA164" s="3" t="s">
        <v>624</v>
      </c>
      <c r="AB164" s="11" t="n">
        <v>46127</v>
      </c>
    </row>
    <row r="165" customFormat="false" ht="15" hidden="false" customHeight="false" outlineLevel="0" collapsed="false">
      <c r="A165" s="3" t="s">
        <v>631</v>
      </c>
      <c r="B165" s="3" t="s">
        <v>48</v>
      </c>
      <c r="C165" s="3" t="s">
        <v>68</v>
      </c>
      <c r="E165" s="3" t="s">
        <v>632</v>
      </c>
      <c r="F165" s="3" t="s">
        <v>622</v>
      </c>
      <c r="G165" s="3" t="s">
        <v>52</v>
      </c>
      <c r="H165" s="3" t="s">
        <v>623</v>
      </c>
      <c r="I165" s="3" t="s">
        <v>633</v>
      </c>
      <c r="M165" s="8" t="n">
        <v>802739</v>
      </c>
      <c r="N165" s="8" t="n">
        <v>369371</v>
      </c>
      <c r="O165" s="9" t="n">
        <v>10.7</v>
      </c>
      <c r="P165" s="9" t="n">
        <v>46</v>
      </c>
      <c r="R165" s="9" t="n">
        <v>1</v>
      </c>
      <c r="T165" s="10" t="n">
        <v>79.3</v>
      </c>
      <c r="U165" s="9" t="n">
        <v>1</v>
      </c>
      <c r="V165" s="3" t="s">
        <v>83</v>
      </c>
      <c r="W165" s="9" t="n">
        <v>1</v>
      </c>
      <c r="Z165" s="3" t="s">
        <v>56</v>
      </c>
      <c r="AA165" s="3" t="s">
        <v>624</v>
      </c>
      <c r="AB165" s="11" t="n">
        <v>46127</v>
      </c>
    </row>
    <row r="166" customFormat="false" ht="15" hidden="false" customHeight="false" outlineLevel="0" collapsed="false">
      <c r="A166" s="3" t="s">
        <v>634</v>
      </c>
      <c r="B166" s="3" t="s">
        <v>48</v>
      </c>
      <c r="C166" s="3" t="s">
        <v>72</v>
      </c>
      <c r="E166" s="3" t="s">
        <v>319</v>
      </c>
      <c r="F166" s="3" t="s">
        <v>622</v>
      </c>
      <c r="G166" s="3" t="s">
        <v>52</v>
      </c>
      <c r="H166" s="3" t="s">
        <v>623</v>
      </c>
      <c r="I166" s="3" t="s">
        <v>635</v>
      </c>
      <c r="M166" s="8" t="n">
        <v>291187</v>
      </c>
      <c r="N166" s="8" t="n">
        <v>105498</v>
      </c>
      <c r="O166" s="9" t="n">
        <v>7.8</v>
      </c>
      <c r="P166" s="9" t="n">
        <v>77</v>
      </c>
      <c r="R166" s="9" t="n">
        <v>1</v>
      </c>
      <c r="T166" s="10" t="n">
        <v>94.4</v>
      </c>
      <c r="U166" s="9" t="n">
        <v>4</v>
      </c>
      <c r="V166" s="3" t="s">
        <v>83</v>
      </c>
      <c r="W166" s="9" t="n">
        <v>1</v>
      </c>
      <c r="Z166" s="3" t="s">
        <v>56</v>
      </c>
      <c r="AA166" s="3" t="s">
        <v>624</v>
      </c>
      <c r="AB166" s="11" t="n">
        <v>46127</v>
      </c>
    </row>
    <row r="167" customFormat="false" ht="15" hidden="false" customHeight="false" outlineLevel="0" collapsed="false">
      <c r="A167" s="3" t="s">
        <v>636</v>
      </c>
      <c r="B167" s="3" t="s">
        <v>48</v>
      </c>
      <c r="C167" s="3" t="s">
        <v>76</v>
      </c>
      <c r="E167" s="3" t="s">
        <v>637</v>
      </c>
      <c r="F167" s="3" t="s">
        <v>622</v>
      </c>
      <c r="G167" s="3" t="s">
        <v>52</v>
      </c>
      <c r="H167" s="3" t="s">
        <v>623</v>
      </c>
      <c r="I167" s="3" t="s">
        <v>638</v>
      </c>
      <c r="M167" s="8" t="n">
        <v>262602</v>
      </c>
      <c r="N167" s="8" t="n">
        <v>221722</v>
      </c>
      <c r="O167" s="9" t="n">
        <v>4.1</v>
      </c>
      <c r="P167" s="9" t="n">
        <v>53</v>
      </c>
      <c r="R167" s="9" t="n">
        <v>1</v>
      </c>
      <c r="T167" s="10" t="n">
        <v>71</v>
      </c>
      <c r="U167" s="9" t="n">
        <v>1</v>
      </c>
      <c r="V167" s="3" t="s">
        <v>55</v>
      </c>
      <c r="W167" s="9" t="n">
        <v>1</v>
      </c>
      <c r="Z167" s="3" t="s">
        <v>56</v>
      </c>
      <c r="AA167" s="3" t="s">
        <v>624</v>
      </c>
      <c r="AB167" s="11" t="n">
        <v>46127</v>
      </c>
    </row>
    <row r="168" customFormat="false" ht="15" hidden="false" customHeight="false" outlineLevel="0" collapsed="false">
      <c r="A168" s="3" t="s">
        <v>639</v>
      </c>
      <c r="B168" s="3" t="s">
        <v>48</v>
      </c>
      <c r="C168" s="3" t="s">
        <v>80</v>
      </c>
      <c r="E168" s="3" t="s">
        <v>640</v>
      </c>
      <c r="F168" s="3" t="s">
        <v>622</v>
      </c>
      <c r="G168" s="3" t="s">
        <v>52</v>
      </c>
      <c r="H168" s="3" t="s">
        <v>623</v>
      </c>
      <c r="I168" s="3" t="s">
        <v>641</v>
      </c>
      <c r="M168" s="8" t="n">
        <v>991016</v>
      </c>
      <c r="N168" s="8" t="n">
        <v>156773</v>
      </c>
      <c r="O168" s="9" t="n">
        <v>15.9</v>
      </c>
      <c r="P168" s="9" t="n">
        <v>68</v>
      </c>
      <c r="R168" s="9" t="n">
        <v>1</v>
      </c>
      <c r="T168" s="10" t="n">
        <v>74.7</v>
      </c>
      <c r="U168" s="9" t="n">
        <v>6</v>
      </c>
      <c r="V168" s="3" t="s">
        <v>83</v>
      </c>
      <c r="W168" s="9" t="n">
        <v>1</v>
      </c>
      <c r="Z168" s="3" t="s">
        <v>56</v>
      </c>
      <c r="AA168" s="3" t="s">
        <v>624</v>
      </c>
      <c r="AB168" s="11" t="n">
        <v>46127</v>
      </c>
    </row>
    <row r="169" customFormat="false" ht="15" hidden="false" customHeight="false" outlineLevel="0" collapsed="false">
      <c r="A169" s="3" t="s">
        <v>642</v>
      </c>
      <c r="B169" s="3" t="s">
        <v>48</v>
      </c>
      <c r="C169" s="3" t="s">
        <v>85</v>
      </c>
      <c r="E169" s="3" t="s">
        <v>643</v>
      </c>
      <c r="F169" s="3" t="s">
        <v>622</v>
      </c>
      <c r="G169" s="3" t="s">
        <v>52</v>
      </c>
      <c r="H169" s="3" t="s">
        <v>623</v>
      </c>
      <c r="I169" s="3" t="s">
        <v>644</v>
      </c>
      <c r="M169" s="8" t="n">
        <v>520354</v>
      </c>
      <c r="N169" s="8" t="n">
        <v>657022</v>
      </c>
      <c r="O169" s="9" t="n">
        <v>3</v>
      </c>
      <c r="P169" s="9" t="n">
        <v>46</v>
      </c>
      <c r="R169" s="9" t="n">
        <v>1</v>
      </c>
      <c r="T169" s="10" t="n">
        <v>84.8</v>
      </c>
      <c r="U169" s="9" t="n">
        <v>5</v>
      </c>
      <c r="V169" s="3" t="s">
        <v>92</v>
      </c>
      <c r="W169" s="9" t="n">
        <v>1</v>
      </c>
      <c r="Z169" s="3" t="s">
        <v>56</v>
      </c>
      <c r="AA169" s="3" t="s">
        <v>624</v>
      </c>
      <c r="AB169" s="11" t="n">
        <v>46127</v>
      </c>
    </row>
    <row r="170" customFormat="false" ht="15" hidden="false" customHeight="false" outlineLevel="0" collapsed="false">
      <c r="A170" s="3" t="s">
        <v>645</v>
      </c>
      <c r="B170" s="3" t="s">
        <v>48</v>
      </c>
      <c r="C170" s="3" t="s">
        <v>89</v>
      </c>
      <c r="E170" s="3" t="s">
        <v>646</v>
      </c>
      <c r="F170" s="3" t="s">
        <v>622</v>
      </c>
      <c r="G170" s="3" t="s">
        <v>52</v>
      </c>
      <c r="H170" s="3" t="s">
        <v>623</v>
      </c>
      <c r="I170" s="3" t="s">
        <v>647</v>
      </c>
      <c r="M170" s="8" t="n">
        <v>400213</v>
      </c>
      <c r="N170" s="8" t="n">
        <v>315594</v>
      </c>
      <c r="O170" s="9" t="n">
        <v>24.9</v>
      </c>
      <c r="P170" s="9" t="n">
        <v>59</v>
      </c>
      <c r="R170" s="9" t="n">
        <v>3</v>
      </c>
      <c r="T170" s="10" t="n">
        <v>23.4</v>
      </c>
      <c r="U170" s="9" t="n">
        <v>1</v>
      </c>
      <c r="V170" s="3" t="s">
        <v>62</v>
      </c>
      <c r="W170" s="9" t="n">
        <v>1</v>
      </c>
      <c r="Z170" s="3" t="s">
        <v>56</v>
      </c>
      <c r="AA170" s="3" t="s">
        <v>624</v>
      </c>
      <c r="AB170" s="11" t="n">
        <v>46127</v>
      </c>
    </row>
    <row r="171" customFormat="false" ht="15" hidden="false" customHeight="false" outlineLevel="0" collapsed="false">
      <c r="A171" s="3" t="s">
        <v>648</v>
      </c>
      <c r="B171" s="3" t="s">
        <v>48</v>
      </c>
      <c r="C171" s="3" t="s">
        <v>94</v>
      </c>
      <c r="E171" s="3" t="s">
        <v>649</v>
      </c>
      <c r="F171" s="3" t="s">
        <v>622</v>
      </c>
      <c r="G171" s="3" t="s">
        <v>52</v>
      </c>
      <c r="H171" s="3" t="s">
        <v>623</v>
      </c>
      <c r="I171" s="3" t="s">
        <v>650</v>
      </c>
      <c r="M171" s="8" t="n">
        <v>734728</v>
      </c>
      <c r="N171" s="8" t="n">
        <v>622421</v>
      </c>
      <c r="O171" s="9" t="n">
        <v>24.2</v>
      </c>
      <c r="P171" s="9" t="n">
        <v>75</v>
      </c>
      <c r="R171" s="9" t="n">
        <v>2</v>
      </c>
      <c r="T171" s="10" t="n">
        <v>86.5</v>
      </c>
      <c r="U171" s="9" t="n">
        <v>5</v>
      </c>
      <c r="V171" s="3" t="s">
        <v>92</v>
      </c>
      <c r="W171" s="9" t="n">
        <v>1</v>
      </c>
      <c r="Z171" s="3" t="s">
        <v>56</v>
      </c>
      <c r="AA171" s="3" t="s">
        <v>624</v>
      </c>
      <c r="AB171" s="11" t="n">
        <v>46127</v>
      </c>
    </row>
    <row r="172" customFormat="false" ht="15" hidden="false" customHeight="false" outlineLevel="0" collapsed="false">
      <c r="A172" s="3" t="s">
        <v>651</v>
      </c>
      <c r="B172" s="3" t="s">
        <v>48</v>
      </c>
      <c r="C172" s="3" t="s">
        <v>98</v>
      </c>
      <c r="E172" s="3" t="s">
        <v>652</v>
      </c>
      <c r="F172" s="3" t="s">
        <v>622</v>
      </c>
      <c r="G172" s="3" t="s">
        <v>52</v>
      </c>
      <c r="H172" s="3" t="s">
        <v>623</v>
      </c>
      <c r="I172" s="3" t="s">
        <v>653</v>
      </c>
      <c r="M172" s="8" t="n">
        <v>95956</v>
      </c>
      <c r="N172" s="8" t="n">
        <v>283157</v>
      </c>
      <c r="O172" s="9" t="n">
        <v>14</v>
      </c>
      <c r="P172" s="9" t="n">
        <v>70</v>
      </c>
      <c r="R172" s="9" t="n">
        <v>1</v>
      </c>
      <c r="T172" s="10" t="n">
        <v>91.4</v>
      </c>
      <c r="U172" s="9" t="n">
        <v>5</v>
      </c>
      <c r="V172" s="3" t="s">
        <v>55</v>
      </c>
      <c r="W172" s="9" t="n">
        <v>1</v>
      </c>
      <c r="Z172" s="3" t="s">
        <v>56</v>
      </c>
      <c r="AA172" s="3" t="s">
        <v>624</v>
      </c>
      <c r="AB172" s="11" t="n">
        <v>46127</v>
      </c>
    </row>
    <row r="173" customFormat="false" ht="15" hidden="false" customHeight="false" outlineLevel="0" collapsed="false">
      <c r="A173" s="3" t="s">
        <v>654</v>
      </c>
      <c r="B173" s="3" t="s">
        <v>48</v>
      </c>
      <c r="C173" s="3" t="s">
        <v>102</v>
      </c>
      <c r="E173" s="3" t="s">
        <v>655</v>
      </c>
      <c r="F173" s="3" t="s">
        <v>622</v>
      </c>
      <c r="G173" s="3" t="s">
        <v>52</v>
      </c>
      <c r="H173" s="3" t="s">
        <v>623</v>
      </c>
      <c r="I173" s="3" t="s">
        <v>656</v>
      </c>
      <c r="M173" s="8" t="n">
        <v>672454</v>
      </c>
      <c r="N173" s="8" t="n">
        <v>170522</v>
      </c>
      <c r="O173" s="9" t="n">
        <v>29.7</v>
      </c>
      <c r="P173" s="9" t="n">
        <v>69</v>
      </c>
      <c r="R173" s="9" t="n">
        <v>1</v>
      </c>
      <c r="T173" s="10" t="n">
        <v>30.8</v>
      </c>
      <c r="U173" s="9" t="n">
        <v>3</v>
      </c>
      <c r="V173" s="3" t="s">
        <v>55</v>
      </c>
      <c r="W173" s="9" t="n">
        <v>1</v>
      </c>
      <c r="Z173" s="3" t="s">
        <v>56</v>
      </c>
      <c r="AA173" s="3" t="s">
        <v>624</v>
      </c>
      <c r="AB173" s="11" t="n">
        <v>46127</v>
      </c>
    </row>
    <row r="174" customFormat="false" ht="15" hidden="false" customHeight="false" outlineLevel="0" collapsed="false">
      <c r="A174" s="3" t="s">
        <v>657</v>
      </c>
      <c r="B174" s="3" t="s">
        <v>48</v>
      </c>
      <c r="C174" s="3" t="s">
        <v>106</v>
      </c>
      <c r="E174" s="3" t="s">
        <v>658</v>
      </c>
      <c r="F174" s="3" t="s">
        <v>622</v>
      </c>
      <c r="G174" s="3" t="s">
        <v>52</v>
      </c>
      <c r="H174" s="3" t="s">
        <v>623</v>
      </c>
      <c r="I174" s="3" t="s">
        <v>659</v>
      </c>
      <c r="M174" s="8" t="n">
        <v>145420</v>
      </c>
      <c r="N174" s="8" t="n">
        <v>334060</v>
      </c>
      <c r="O174" s="9" t="n">
        <v>14.5</v>
      </c>
      <c r="P174" s="9" t="n">
        <v>63</v>
      </c>
      <c r="R174" s="9" t="n">
        <v>1</v>
      </c>
      <c r="T174" s="10" t="n">
        <v>79.9</v>
      </c>
      <c r="U174" s="9" t="n">
        <v>3</v>
      </c>
      <c r="V174" s="3" t="s">
        <v>62</v>
      </c>
      <c r="W174" s="9" t="n">
        <v>1</v>
      </c>
      <c r="Z174" s="3" t="s">
        <v>56</v>
      </c>
      <c r="AA174" s="3" t="s">
        <v>624</v>
      </c>
      <c r="AB174" s="11" t="n">
        <v>46127</v>
      </c>
    </row>
    <row r="175" customFormat="false" ht="15" hidden="false" customHeight="false" outlineLevel="0" collapsed="false">
      <c r="A175" s="3" t="s">
        <v>660</v>
      </c>
      <c r="B175" s="3" t="s">
        <v>48</v>
      </c>
      <c r="C175" s="3" t="s">
        <v>110</v>
      </c>
      <c r="E175" s="3" t="s">
        <v>661</v>
      </c>
      <c r="F175" s="3" t="s">
        <v>622</v>
      </c>
      <c r="G175" s="3" t="s">
        <v>52</v>
      </c>
      <c r="H175" s="3" t="s">
        <v>623</v>
      </c>
      <c r="I175" s="3" t="s">
        <v>662</v>
      </c>
      <c r="M175" s="8" t="n">
        <v>235140</v>
      </c>
      <c r="N175" s="8" t="n">
        <v>926912</v>
      </c>
      <c r="O175" s="9" t="n">
        <v>8.8</v>
      </c>
      <c r="P175" s="9" t="n">
        <v>38</v>
      </c>
      <c r="R175" s="9" t="n">
        <v>1</v>
      </c>
      <c r="T175" s="10" t="n">
        <v>54.2</v>
      </c>
      <c r="U175" s="9" t="n">
        <v>9</v>
      </c>
      <c r="V175" s="3" t="s">
        <v>62</v>
      </c>
      <c r="W175" s="9" t="n">
        <v>1</v>
      </c>
      <c r="Z175" s="3" t="s">
        <v>56</v>
      </c>
      <c r="AA175" s="3" t="s">
        <v>624</v>
      </c>
      <c r="AB175" s="11" t="n">
        <v>46127</v>
      </c>
    </row>
    <row r="176" customFormat="false" ht="15" hidden="false" customHeight="false" outlineLevel="0" collapsed="false">
      <c r="A176" s="3" t="s">
        <v>663</v>
      </c>
      <c r="B176" s="3" t="s">
        <v>48</v>
      </c>
      <c r="C176" s="3" t="s">
        <v>114</v>
      </c>
      <c r="E176" s="3" t="s">
        <v>664</v>
      </c>
      <c r="F176" s="3" t="s">
        <v>622</v>
      </c>
      <c r="G176" s="3" t="s">
        <v>52</v>
      </c>
      <c r="H176" s="3" t="s">
        <v>623</v>
      </c>
      <c r="I176" s="3" t="s">
        <v>665</v>
      </c>
      <c r="M176" s="8" t="n">
        <v>976555</v>
      </c>
      <c r="N176" s="8" t="n">
        <v>296324</v>
      </c>
      <c r="O176" s="9" t="n">
        <v>3.2</v>
      </c>
      <c r="P176" s="9" t="n">
        <v>73</v>
      </c>
      <c r="R176" s="9" t="n">
        <v>1</v>
      </c>
      <c r="T176" s="10" t="n">
        <v>56.6</v>
      </c>
      <c r="U176" s="9" t="n">
        <v>5</v>
      </c>
      <c r="V176" s="3" t="s">
        <v>62</v>
      </c>
      <c r="W176" s="9" t="n">
        <v>1</v>
      </c>
      <c r="Z176" s="3" t="s">
        <v>56</v>
      </c>
      <c r="AA176" s="3" t="s">
        <v>624</v>
      </c>
      <c r="AB176" s="11" t="n">
        <v>46127</v>
      </c>
    </row>
    <row r="177" customFormat="false" ht="15" hidden="false" customHeight="false" outlineLevel="0" collapsed="false">
      <c r="A177" s="3" t="s">
        <v>666</v>
      </c>
      <c r="B177" s="3" t="s">
        <v>48</v>
      </c>
      <c r="C177" s="3" t="s">
        <v>118</v>
      </c>
      <c r="E177" s="3" t="s">
        <v>667</v>
      </c>
      <c r="F177" s="3" t="s">
        <v>622</v>
      </c>
      <c r="G177" s="3" t="s">
        <v>52</v>
      </c>
      <c r="H177" s="3" t="s">
        <v>623</v>
      </c>
      <c r="I177" s="3" t="s">
        <v>668</v>
      </c>
      <c r="M177" s="8" t="n">
        <v>563895</v>
      </c>
      <c r="N177" s="8" t="n">
        <v>930637</v>
      </c>
      <c r="O177" s="9" t="n">
        <v>19.2</v>
      </c>
      <c r="P177" s="9" t="n">
        <v>72</v>
      </c>
      <c r="R177" s="9" t="n">
        <v>2</v>
      </c>
      <c r="T177" s="10" t="n">
        <v>71.8</v>
      </c>
      <c r="U177" s="9" t="n">
        <v>2</v>
      </c>
      <c r="V177" s="3" t="s">
        <v>62</v>
      </c>
      <c r="W177" s="9" t="n">
        <v>1</v>
      </c>
      <c r="Z177" s="3" t="s">
        <v>56</v>
      </c>
      <c r="AA177" s="3" t="s">
        <v>624</v>
      </c>
      <c r="AB177" s="11" t="n">
        <v>46127</v>
      </c>
    </row>
    <row r="178" customFormat="false" ht="15" hidden="false" customHeight="false" outlineLevel="0" collapsed="false">
      <c r="A178" s="3" t="s">
        <v>669</v>
      </c>
      <c r="B178" s="3" t="s">
        <v>48</v>
      </c>
      <c r="C178" s="3" t="s">
        <v>122</v>
      </c>
      <c r="E178" s="3" t="s">
        <v>670</v>
      </c>
      <c r="F178" s="3" t="s">
        <v>622</v>
      </c>
      <c r="G178" s="3" t="s">
        <v>52</v>
      </c>
      <c r="H178" s="3" t="s">
        <v>623</v>
      </c>
      <c r="I178" s="3" t="s">
        <v>671</v>
      </c>
      <c r="M178" s="8" t="n">
        <v>246105</v>
      </c>
      <c r="N178" s="8" t="n">
        <v>910696</v>
      </c>
      <c r="O178" s="9" t="n">
        <v>14.8</v>
      </c>
      <c r="P178" s="9" t="n">
        <v>48</v>
      </c>
      <c r="R178" s="9" t="n">
        <v>1</v>
      </c>
      <c r="T178" s="10" t="n">
        <v>24.8</v>
      </c>
      <c r="U178" s="9" t="n">
        <v>3</v>
      </c>
      <c r="V178" s="3" t="s">
        <v>83</v>
      </c>
      <c r="W178" s="9" t="n">
        <v>1</v>
      </c>
      <c r="Z178" s="3" t="s">
        <v>56</v>
      </c>
      <c r="AA178" s="3" t="s">
        <v>624</v>
      </c>
      <c r="AB178" s="11" t="n">
        <v>46127</v>
      </c>
    </row>
    <row r="179" customFormat="false" ht="15" hidden="false" customHeight="false" outlineLevel="0" collapsed="false">
      <c r="A179" s="3" t="s">
        <v>672</v>
      </c>
      <c r="B179" s="3" t="s">
        <v>48</v>
      </c>
      <c r="C179" s="3" t="s">
        <v>126</v>
      </c>
      <c r="E179" s="3" t="s">
        <v>673</v>
      </c>
      <c r="F179" s="3" t="s">
        <v>622</v>
      </c>
      <c r="G179" s="3" t="s">
        <v>52</v>
      </c>
      <c r="H179" s="3" t="s">
        <v>623</v>
      </c>
      <c r="I179" s="3" t="s">
        <v>674</v>
      </c>
      <c r="M179" s="8" t="n">
        <v>193190</v>
      </c>
      <c r="N179" s="8" t="n">
        <v>518557</v>
      </c>
      <c r="O179" s="9" t="n">
        <v>18.2</v>
      </c>
      <c r="P179" s="9" t="n">
        <v>50</v>
      </c>
      <c r="R179" s="9" t="n">
        <v>1</v>
      </c>
      <c r="T179" s="10" t="n">
        <v>70.7</v>
      </c>
      <c r="U179" s="9" t="n">
        <v>2</v>
      </c>
      <c r="V179" s="3" t="s">
        <v>83</v>
      </c>
      <c r="W179" s="9" t="n">
        <v>1</v>
      </c>
      <c r="Z179" s="3" t="s">
        <v>56</v>
      </c>
      <c r="AA179" s="3" t="s">
        <v>624</v>
      </c>
      <c r="AB179" s="11" t="n">
        <v>46127</v>
      </c>
    </row>
    <row r="180" customFormat="false" ht="15" hidden="false" customHeight="false" outlineLevel="0" collapsed="false">
      <c r="A180" s="3" t="s">
        <v>675</v>
      </c>
      <c r="B180" s="3" t="s">
        <v>48</v>
      </c>
      <c r="C180" s="3" t="s">
        <v>130</v>
      </c>
      <c r="E180" s="3" t="s">
        <v>676</v>
      </c>
      <c r="F180" s="3" t="s">
        <v>622</v>
      </c>
      <c r="G180" s="3" t="s">
        <v>52</v>
      </c>
      <c r="H180" s="3" t="s">
        <v>623</v>
      </c>
      <c r="I180" s="3" t="s">
        <v>677</v>
      </c>
      <c r="M180" s="8" t="n">
        <v>78861</v>
      </c>
      <c r="N180" s="8" t="n">
        <v>138736</v>
      </c>
      <c r="O180" s="9" t="n">
        <v>20.3</v>
      </c>
      <c r="P180" s="9" t="n">
        <v>73</v>
      </c>
      <c r="R180" s="9" t="n">
        <v>1</v>
      </c>
      <c r="T180" s="10" t="n">
        <v>71.7</v>
      </c>
      <c r="U180" s="9" t="n">
        <v>5</v>
      </c>
      <c r="V180" s="3" t="s">
        <v>92</v>
      </c>
      <c r="W180" s="9" t="n">
        <v>1</v>
      </c>
      <c r="Z180" s="3" t="s">
        <v>56</v>
      </c>
      <c r="AA180" s="3" t="s">
        <v>624</v>
      </c>
      <c r="AB180" s="11" t="n">
        <v>46127</v>
      </c>
    </row>
    <row r="181" customFormat="false" ht="15" hidden="false" customHeight="false" outlineLevel="0" collapsed="false">
      <c r="A181" s="3" t="s">
        <v>678</v>
      </c>
      <c r="B181" s="3" t="s">
        <v>48</v>
      </c>
      <c r="C181" s="3" t="s">
        <v>134</v>
      </c>
      <c r="E181" s="3" t="s">
        <v>679</v>
      </c>
      <c r="F181" s="3" t="s">
        <v>622</v>
      </c>
      <c r="G181" s="3" t="s">
        <v>52</v>
      </c>
      <c r="H181" s="3" t="s">
        <v>623</v>
      </c>
      <c r="I181" s="3" t="s">
        <v>680</v>
      </c>
      <c r="M181" s="8" t="n">
        <v>471674</v>
      </c>
      <c r="N181" s="8" t="n">
        <v>228403</v>
      </c>
      <c r="O181" s="9" t="n">
        <v>16.2</v>
      </c>
      <c r="P181" s="9" t="n">
        <v>51</v>
      </c>
      <c r="R181" s="9" t="n">
        <v>1</v>
      </c>
      <c r="T181" s="10" t="n">
        <v>73</v>
      </c>
      <c r="U181" s="9" t="n">
        <v>6</v>
      </c>
      <c r="V181" s="3" t="s">
        <v>55</v>
      </c>
      <c r="W181" s="9" t="n">
        <v>1</v>
      </c>
      <c r="Z181" s="3" t="s">
        <v>56</v>
      </c>
      <c r="AA181" s="3" t="s">
        <v>624</v>
      </c>
      <c r="AB181" s="11" t="n">
        <v>46127</v>
      </c>
    </row>
    <row r="182" customFormat="false" ht="15" hidden="false" customHeight="false" outlineLevel="0" collapsed="false">
      <c r="A182" s="3" t="s">
        <v>681</v>
      </c>
      <c r="B182" s="3" t="s">
        <v>48</v>
      </c>
      <c r="C182" s="3" t="s">
        <v>138</v>
      </c>
      <c r="E182" s="3" t="s">
        <v>682</v>
      </c>
      <c r="F182" s="3" t="s">
        <v>622</v>
      </c>
      <c r="G182" s="3" t="s">
        <v>52</v>
      </c>
      <c r="H182" s="3" t="s">
        <v>623</v>
      </c>
      <c r="I182" s="3" t="s">
        <v>683</v>
      </c>
      <c r="M182" s="8" t="n">
        <v>630023</v>
      </c>
      <c r="N182" s="8" t="n">
        <v>269065</v>
      </c>
      <c r="O182" s="9" t="n">
        <v>6.3</v>
      </c>
      <c r="P182" s="9" t="n">
        <v>74</v>
      </c>
      <c r="R182" s="9" t="n">
        <v>3</v>
      </c>
      <c r="T182" s="10" t="n">
        <v>19.4</v>
      </c>
      <c r="U182" s="9" t="n">
        <v>6</v>
      </c>
      <c r="V182" s="3" t="s">
        <v>55</v>
      </c>
      <c r="W182" s="9" t="n">
        <v>1</v>
      </c>
      <c r="Z182" s="3" t="s">
        <v>56</v>
      </c>
      <c r="AA182" s="3" t="s">
        <v>624</v>
      </c>
      <c r="AB182" s="11" t="n">
        <v>46127</v>
      </c>
    </row>
    <row r="183" customFormat="false" ht="15" hidden="false" customHeight="false" outlineLevel="0" collapsed="false">
      <c r="A183" s="3" t="s">
        <v>684</v>
      </c>
      <c r="B183" s="3" t="s">
        <v>48</v>
      </c>
      <c r="C183" s="3" t="s">
        <v>142</v>
      </c>
      <c r="E183" s="3" t="s">
        <v>685</v>
      </c>
      <c r="F183" s="3" t="s">
        <v>622</v>
      </c>
      <c r="G183" s="3" t="s">
        <v>52</v>
      </c>
      <c r="H183" s="3" t="s">
        <v>623</v>
      </c>
      <c r="I183" s="3" t="s">
        <v>686</v>
      </c>
      <c r="M183" s="8" t="n">
        <v>444972</v>
      </c>
      <c r="N183" s="8" t="n">
        <v>264619</v>
      </c>
      <c r="O183" s="9" t="n">
        <v>14.3</v>
      </c>
      <c r="P183" s="9" t="n">
        <v>77</v>
      </c>
      <c r="R183" s="9" t="n">
        <v>1</v>
      </c>
      <c r="T183" s="10" t="n">
        <v>81.6</v>
      </c>
      <c r="U183" s="9" t="n">
        <v>5</v>
      </c>
      <c r="V183" s="3" t="s">
        <v>83</v>
      </c>
      <c r="W183" s="9" t="n">
        <v>1</v>
      </c>
      <c r="Z183" s="3" t="s">
        <v>56</v>
      </c>
      <c r="AA183" s="3" t="s">
        <v>624</v>
      </c>
      <c r="AB183" s="11" t="n">
        <v>46127</v>
      </c>
    </row>
    <row r="184" customFormat="false" ht="15" hidden="false" customHeight="false" outlineLevel="0" collapsed="false">
      <c r="A184" s="3" t="s">
        <v>687</v>
      </c>
      <c r="B184" s="3" t="s">
        <v>48</v>
      </c>
      <c r="C184" s="3" t="s">
        <v>146</v>
      </c>
      <c r="E184" s="3" t="s">
        <v>688</v>
      </c>
      <c r="F184" s="3" t="s">
        <v>622</v>
      </c>
      <c r="G184" s="3" t="s">
        <v>52</v>
      </c>
      <c r="H184" s="3" t="s">
        <v>623</v>
      </c>
      <c r="I184" s="3" t="s">
        <v>689</v>
      </c>
      <c r="M184" s="8" t="n">
        <v>453354</v>
      </c>
      <c r="N184" s="8" t="n">
        <v>306780</v>
      </c>
      <c r="O184" s="9" t="n">
        <v>26.8</v>
      </c>
      <c r="P184" s="9" t="n">
        <v>43</v>
      </c>
      <c r="R184" s="9" t="n">
        <v>1</v>
      </c>
      <c r="T184" s="10" t="n">
        <v>39.9</v>
      </c>
      <c r="U184" s="9" t="n">
        <v>6</v>
      </c>
      <c r="V184" s="3" t="s">
        <v>62</v>
      </c>
      <c r="W184" s="9" t="n">
        <v>1</v>
      </c>
      <c r="Z184" s="3" t="s">
        <v>56</v>
      </c>
      <c r="AA184" s="3" t="s">
        <v>624</v>
      </c>
      <c r="AB184" s="11" t="n">
        <v>46127</v>
      </c>
    </row>
    <row r="185" customFormat="false" ht="15" hidden="false" customHeight="false" outlineLevel="0" collapsed="false">
      <c r="A185" s="3" t="s">
        <v>690</v>
      </c>
      <c r="B185" s="3" t="s">
        <v>48</v>
      </c>
      <c r="C185" s="3" t="s">
        <v>150</v>
      </c>
      <c r="E185" s="3" t="s">
        <v>691</v>
      </c>
      <c r="F185" s="3" t="s">
        <v>622</v>
      </c>
      <c r="G185" s="3" t="s">
        <v>52</v>
      </c>
      <c r="H185" s="3" t="s">
        <v>623</v>
      </c>
      <c r="I185" s="3" t="s">
        <v>692</v>
      </c>
      <c r="M185" s="8" t="n">
        <v>352027</v>
      </c>
      <c r="N185" s="8" t="n">
        <v>148740</v>
      </c>
      <c r="O185" s="9" t="n">
        <v>11.5</v>
      </c>
      <c r="P185" s="9" t="n">
        <v>57</v>
      </c>
      <c r="R185" s="9" t="n">
        <v>1</v>
      </c>
      <c r="T185" s="10" t="n">
        <v>84.3</v>
      </c>
      <c r="U185" s="9" t="n">
        <v>9</v>
      </c>
      <c r="V185" s="3" t="s">
        <v>55</v>
      </c>
      <c r="W185" s="9" t="n">
        <v>1</v>
      </c>
      <c r="Z185" s="3" t="s">
        <v>56</v>
      </c>
      <c r="AA185" s="3" t="s">
        <v>624</v>
      </c>
      <c r="AB185" s="11" t="n">
        <v>46127</v>
      </c>
    </row>
    <row r="186" customFormat="false" ht="15" hidden="false" customHeight="false" outlineLevel="0" collapsed="false">
      <c r="A186" s="3" t="s">
        <v>693</v>
      </c>
      <c r="B186" s="3" t="s">
        <v>48</v>
      </c>
      <c r="C186" s="3" t="s">
        <v>154</v>
      </c>
      <c r="E186" s="3" t="s">
        <v>694</v>
      </c>
      <c r="F186" s="3" t="s">
        <v>622</v>
      </c>
      <c r="G186" s="3" t="s">
        <v>52</v>
      </c>
      <c r="H186" s="3" t="s">
        <v>623</v>
      </c>
      <c r="I186" s="3" t="s">
        <v>695</v>
      </c>
      <c r="M186" s="8" t="n">
        <v>540302</v>
      </c>
      <c r="N186" s="8" t="n">
        <v>760642</v>
      </c>
      <c r="O186" s="9" t="n">
        <v>3.4</v>
      </c>
      <c r="P186" s="9" t="n">
        <v>67</v>
      </c>
      <c r="R186" s="9" t="n">
        <v>1</v>
      </c>
      <c r="T186" s="10" t="n">
        <v>54.8</v>
      </c>
      <c r="U186" s="9" t="n">
        <v>3</v>
      </c>
      <c r="V186" s="3" t="s">
        <v>83</v>
      </c>
      <c r="W186" s="9" t="n">
        <v>1</v>
      </c>
      <c r="Z186" s="3" t="s">
        <v>56</v>
      </c>
      <c r="AA186" s="3" t="s">
        <v>624</v>
      </c>
      <c r="AB186" s="11" t="n">
        <v>46127</v>
      </c>
    </row>
    <row r="187" customFormat="false" ht="15" hidden="false" customHeight="false" outlineLevel="0" collapsed="false">
      <c r="A187" s="3" t="s">
        <v>696</v>
      </c>
      <c r="B187" s="3" t="s">
        <v>48</v>
      </c>
      <c r="C187" s="3" t="s">
        <v>158</v>
      </c>
      <c r="E187" s="3" t="s">
        <v>697</v>
      </c>
      <c r="F187" s="3" t="s">
        <v>622</v>
      </c>
      <c r="G187" s="3" t="s">
        <v>52</v>
      </c>
      <c r="H187" s="3" t="s">
        <v>623</v>
      </c>
      <c r="I187" s="3" t="s">
        <v>698</v>
      </c>
      <c r="M187" s="8" t="n">
        <v>528658</v>
      </c>
      <c r="N187" s="8" t="n">
        <v>119036</v>
      </c>
      <c r="O187" s="9" t="n">
        <v>25.1</v>
      </c>
      <c r="P187" s="9" t="n">
        <v>55</v>
      </c>
      <c r="R187" s="9" t="n">
        <v>1</v>
      </c>
      <c r="T187" s="10" t="n">
        <v>15.3</v>
      </c>
      <c r="U187" s="9" t="n">
        <v>1</v>
      </c>
      <c r="V187" s="3" t="s">
        <v>62</v>
      </c>
      <c r="W187" s="9" t="n">
        <v>1</v>
      </c>
      <c r="Z187" s="3" t="s">
        <v>56</v>
      </c>
      <c r="AA187" s="3" t="s">
        <v>624</v>
      </c>
      <c r="AB187" s="11" t="n">
        <v>46127</v>
      </c>
    </row>
    <row r="188" customFormat="false" ht="15" hidden="false" customHeight="false" outlineLevel="0" collapsed="false">
      <c r="A188" s="3" t="s">
        <v>699</v>
      </c>
      <c r="B188" s="3" t="s">
        <v>48</v>
      </c>
      <c r="C188" s="3" t="s">
        <v>162</v>
      </c>
      <c r="E188" s="3" t="s">
        <v>700</v>
      </c>
      <c r="F188" s="3" t="s">
        <v>622</v>
      </c>
      <c r="G188" s="3" t="s">
        <v>52</v>
      </c>
      <c r="H188" s="3" t="s">
        <v>623</v>
      </c>
      <c r="I188" s="3" t="s">
        <v>701</v>
      </c>
      <c r="M188" s="8" t="n">
        <v>237037</v>
      </c>
      <c r="N188" s="8" t="n">
        <v>485854</v>
      </c>
      <c r="O188" s="9" t="n">
        <v>27.7</v>
      </c>
      <c r="P188" s="9" t="n">
        <v>54</v>
      </c>
      <c r="R188" s="9" t="n">
        <v>1</v>
      </c>
      <c r="T188" s="10" t="n">
        <v>79</v>
      </c>
      <c r="U188" s="9" t="n">
        <v>9</v>
      </c>
      <c r="V188" s="3" t="s">
        <v>92</v>
      </c>
      <c r="W188" s="9" t="n">
        <v>1</v>
      </c>
      <c r="Z188" s="3" t="s">
        <v>56</v>
      </c>
      <c r="AA188" s="3" t="s">
        <v>624</v>
      </c>
      <c r="AB188" s="11" t="n">
        <v>46127</v>
      </c>
    </row>
    <row r="189" customFormat="false" ht="15" hidden="false" customHeight="false" outlineLevel="0" collapsed="false">
      <c r="A189" s="3" t="s">
        <v>702</v>
      </c>
      <c r="B189" s="3" t="s">
        <v>48</v>
      </c>
      <c r="C189" s="3" t="s">
        <v>166</v>
      </c>
      <c r="E189" s="3" t="s">
        <v>703</v>
      </c>
      <c r="F189" s="3" t="s">
        <v>622</v>
      </c>
      <c r="G189" s="3" t="s">
        <v>52</v>
      </c>
      <c r="H189" s="3" t="s">
        <v>623</v>
      </c>
      <c r="I189" s="3" t="s">
        <v>704</v>
      </c>
      <c r="M189" s="8" t="n">
        <v>503237</v>
      </c>
      <c r="N189" s="8" t="n">
        <v>517242</v>
      </c>
      <c r="O189" s="9" t="n">
        <v>9</v>
      </c>
      <c r="P189" s="9" t="n">
        <v>74</v>
      </c>
      <c r="R189" s="9" t="n">
        <v>1</v>
      </c>
      <c r="T189" s="10" t="n">
        <v>83.5</v>
      </c>
      <c r="U189" s="9" t="n">
        <v>9</v>
      </c>
      <c r="V189" s="3" t="s">
        <v>92</v>
      </c>
      <c r="W189" s="9" t="n">
        <v>1</v>
      </c>
      <c r="Z189" s="3" t="s">
        <v>56</v>
      </c>
      <c r="AA189" s="3" t="s">
        <v>624</v>
      </c>
      <c r="AB189" s="11" t="n">
        <v>46127</v>
      </c>
    </row>
    <row r="190" customFormat="false" ht="15" hidden="false" customHeight="false" outlineLevel="0" collapsed="false">
      <c r="A190" s="3" t="s">
        <v>705</v>
      </c>
      <c r="B190" s="3" t="s">
        <v>48</v>
      </c>
      <c r="C190" s="3" t="s">
        <v>170</v>
      </c>
      <c r="E190" s="3" t="s">
        <v>706</v>
      </c>
      <c r="F190" s="3" t="s">
        <v>622</v>
      </c>
      <c r="G190" s="3" t="s">
        <v>52</v>
      </c>
      <c r="H190" s="3" t="s">
        <v>623</v>
      </c>
      <c r="I190" s="3" t="s">
        <v>707</v>
      </c>
      <c r="M190" s="8" t="n">
        <v>253256</v>
      </c>
      <c r="N190" s="8" t="n">
        <v>276094</v>
      </c>
      <c r="O190" s="9" t="n">
        <v>28.1</v>
      </c>
      <c r="P190" s="9" t="n">
        <v>39</v>
      </c>
      <c r="R190" s="9" t="n">
        <v>1</v>
      </c>
      <c r="T190" s="10" t="n">
        <v>30.5</v>
      </c>
      <c r="U190" s="9" t="n">
        <v>2</v>
      </c>
      <c r="V190" s="3" t="s">
        <v>55</v>
      </c>
      <c r="W190" s="9" t="n">
        <v>1</v>
      </c>
      <c r="Z190" s="3" t="s">
        <v>56</v>
      </c>
      <c r="AA190" s="3" t="s">
        <v>624</v>
      </c>
      <c r="AB190" s="11" t="n">
        <v>46127</v>
      </c>
    </row>
    <row r="191" customFormat="false" ht="15" hidden="false" customHeight="false" outlineLevel="0" collapsed="false">
      <c r="A191" s="3" t="s">
        <v>708</v>
      </c>
      <c r="B191" s="3" t="s">
        <v>48</v>
      </c>
      <c r="C191" s="3" t="s">
        <v>174</v>
      </c>
      <c r="E191" s="3" t="s">
        <v>709</v>
      </c>
      <c r="F191" s="3" t="s">
        <v>622</v>
      </c>
      <c r="G191" s="3" t="s">
        <v>52</v>
      </c>
      <c r="H191" s="3" t="s">
        <v>623</v>
      </c>
      <c r="I191" s="3" t="s">
        <v>710</v>
      </c>
      <c r="M191" s="8" t="n">
        <v>456682</v>
      </c>
      <c r="N191" s="8" t="n">
        <v>216037</v>
      </c>
      <c r="O191" s="9" t="n">
        <v>14.2</v>
      </c>
      <c r="P191" s="9" t="n">
        <v>37</v>
      </c>
      <c r="R191" s="9" t="n">
        <v>1</v>
      </c>
      <c r="T191" s="10" t="n">
        <v>86.6</v>
      </c>
      <c r="U191" s="9" t="n">
        <v>9</v>
      </c>
      <c r="V191" s="3" t="s">
        <v>83</v>
      </c>
      <c r="W191" s="9" t="n">
        <v>1</v>
      </c>
      <c r="Z191" s="3" t="s">
        <v>56</v>
      </c>
      <c r="AA191" s="3" t="s">
        <v>624</v>
      </c>
      <c r="AB191" s="11" t="n">
        <v>46127</v>
      </c>
    </row>
    <row r="192" customFormat="false" ht="15" hidden="false" customHeight="false" outlineLevel="0" collapsed="false">
      <c r="A192" s="3" t="s">
        <v>711</v>
      </c>
      <c r="B192" s="3" t="s">
        <v>48</v>
      </c>
      <c r="C192" s="3" t="s">
        <v>178</v>
      </c>
      <c r="E192" s="3" t="s">
        <v>712</v>
      </c>
      <c r="F192" s="3" t="s">
        <v>622</v>
      </c>
      <c r="G192" s="3" t="s">
        <v>52</v>
      </c>
      <c r="H192" s="3" t="s">
        <v>623</v>
      </c>
      <c r="I192" s="3" t="s">
        <v>713</v>
      </c>
      <c r="M192" s="8" t="n">
        <v>181613</v>
      </c>
      <c r="N192" s="8" t="n">
        <v>159007</v>
      </c>
      <c r="O192" s="9" t="n">
        <v>10.3</v>
      </c>
      <c r="P192" s="9" t="n">
        <v>55</v>
      </c>
      <c r="R192" s="9" t="n">
        <v>1</v>
      </c>
      <c r="T192" s="10" t="n">
        <v>42.8</v>
      </c>
      <c r="U192" s="9" t="n">
        <v>9</v>
      </c>
      <c r="V192" s="3" t="s">
        <v>83</v>
      </c>
      <c r="W192" s="9" t="n">
        <v>1</v>
      </c>
      <c r="Z192" s="3" t="s">
        <v>56</v>
      </c>
      <c r="AA192" s="3" t="s">
        <v>624</v>
      </c>
      <c r="AB192" s="11" t="n">
        <v>46127</v>
      </c>
    </row>
    <row r="193" customFormat="false" ht="15" hidden="false" customHeight="false" outlineLevel="0" collapsed="false">
      <c r="A193" s="3" t="s">
        <v>714</v>
      </c>
      <c r="B193" s="3" t="s">
        <v>48</v>
      </c>
      <c r="C193" s="3" t="s">
        <v>182</v>
      </c>
      <c r="E193" s="3" t="s">
        <v>715</v>
      </c>
      <c r="F193" s="3" t="s">
        <v>622</v>
      </c>
      <c r="G193" s="3" t="s">
        <v>52</v>
      </c>
      <c r="H193" s="3" t="s">
        <v>623</v>
      </c>
      <c r="I193" s="3" t="s">
        <v>432</v>
      </c>
      <c r="M193" s="8" t="n">
        <v>1003738</v>
      </c>
      <c r="N193" s="8" t="n">
        <v>507255</v>
      </c>
      <c r="O193" s="9" t="n">
        <v>19.9</v>
      </c>
      <c r="P193" s="9" t="n">
        <v>76</v>
      </c>
      <c r="R193" s="9" t="n">
        <v>1</v>
      </c>
      <c r="T193" s="10" t="n">
        <v>69.7</v>
      </c>
      <c r="U193" s="9" t="n">
        <v>1</v>
      </c>
      <c r="V193" s="3" t="s">
        <v>62</v>
      </c>
      <c r="W193" s="9" t="n">
        <v>1</v>
      </c>
      <c r="Z193" s="3" t="s">
        <v>56</v>
      </c>
      <c r="AA193" s="3" t="s">
        <v>624</v>
      </c>
      <c r="AB193" s="11" t="n">
        <v>46127</v>
      </c>
    </row>
    <row r="194" customFormat="false" ht="15" hidden="false" customHeight="false" outlineLevel="0" collapsed="false">
      <c r="A194" s="3" t="s">
        <v>716</v>
      </c>
      <c r="B194" s="3" t="s">
        <v>48</v>
      </c>
      <c r="C194" s="3" t="s">
        <v>186</v>
      </c>
      <c r="E194" s="3" t="s">
        <v>717</v>
      </c>
      <c r="F194" s="3" t="s">
        <v>622</v>
      </c>
      <c r="G194" s="3" t="s">
        <v>52</v>
      </c>
      <c r="H194" s="3" t="s">
        <v>623</v>
      </c>
      <c r="I194" s="3" t="s">
        <v>248</v>
      </c>
      <c r="M194" s="8" t="n">
        <v>350419</v>
      </c>
      <c r="N194" s="8" t="n">
        <v>144666</v>
      </c>
      <c r="O194" s="9" t="n">
        <v>13.3</v>
      </c>
      <c r="P194" s="9" t="n">
        <v>40</v>
      </c>
      <c r="R194" s="9" t="n">
        <v>1</v>
      </c>
      <c r="T194" s="10" t="n">
        <v>76.3</v>
      </c>
      <c r="U194" s="9" t="n">
        <v>8</v>
      </c>
      <c r="V194" s="3" t="s">
        <v>92</v>
      </c>
      <c r="W194" s="9" t="n">
        <v>1</v>
      </c>
      <c r="Z194" s="3" t="s">
        <v>56</v>
      </c>
      <c r="AA194" s="3" t="s">
        <v>624</v>
      </c>
      <c r="AB194" s="11" t="n">
        <v>46127</v>
      </c>
    </row>
    <row r="195" customFormat="false" ht="15" hidden="false" customHeight="false" outlineLevel="0" collapsed="false">
      <c r="A195" s="3" t="s">
        <v>718</v>
      </c>
      <c r="B195" s="3" t="s">
        <v>48</v>
      </c>
      <c r="C195" s="3" t="s">
        <v>190</v>
      </c>
      <c r="E195" s="3" t="s">
        <v>719</v>
      </c>
      <c r="F195" s="3" t="s">
        <v>622</v>
      </c>
      <c r="G195" s="3" t="s">
        <v>52</v>
      </c>
      <c r="H195" s="3" t="s">
        <v>623</v>
      </c>
      <c r="I195" s="3" t="s">
        <v>720</v>
      </c>
      <c r="M195" s="8" t="n">
        <v>402605</v>
      </c>
      <c r="N195" s="8" t="n">
        <v>207928</v>
      </c>
      <c r="O195" s="9" t="n">
        <v>16.4</v>
      </c>
      <c r="P195" s="9" t="n">
        <v>38</v>
      </c>
      <c r="R195" s="9" t="n">
        <v>1</v>
      </c>
      <c r="T195" s="10" t="n">
        <v>89.9</v>
      </c>
      <c r="U195" s="9" t="n">
        <v>7</v>
      </c>
      <c r="V195" s="3" t="s">
        <v>83</v>
      </c>
      <c r="W195" s="9" t="n">
        <v>1</v>
      </c>
      <c r="Z195" s="3" t="s">
        <v>56</v>
      </c>
      <c r="AA195" s="3" t="s">
        <v>624</v>
      </c>
      <c r="AB195" s="11" t="n">
        <v>46127</v>
      </c>
    </row>
    <row r="196" customFormat="false" ht="15" hidden="false" customHeight="false" outlineLevel="0" collapsed="false">
      <c r="A196" s="3" t="s">
        <v>721</v>
      </c>
      <c r="B196" s="3" t="s">
        <v>48</v>
      </c>
      <c r="C196" s="3" t="s">
        <v>194</v>
      </c>
      <c r="E196" s="3" t="s">
        <v>722</v>
      </c>
      <c r="F196" s="3" t="s">
        <v>622</v>
      </c>
      <c r="G196" s="3" t="s">
        <v>52</v>
      </c>
      <c r="H196" s="3" t="s">
        <v>623</v>
      </c>
      <c r="I196" s="3" t="s">
        <v>723</v>
      </c>
      <c r="M196" s="8" t="n">
        <v>1141429</v>
      </c>
      <c r="N196" s="8" t="n">
        <v>329448</v>
      </c>
      <c r="O196" s="9" t="n">
        <v>9</v>
      </c>
      <c r="P196" s="9" t="n">
        <v>43</v>
      </c>
      <c r="R196" s="9" t="n">
        <v>1</v>
      </c>
      <c r="T196" s="10" t="n">
        <v>41.9</v>
      </c>
      <c r="U196" s="9" t="n">
        <v>9</v>
      </c>
      <c r="V196" s="3" t="s">
        <v>62</v>
      </c>
      <c r="W196" s="9" t="n">
        <v>1</v>
      </c>
      <c r="Z196" s="3" t="s">
        <v>56</v>
      </c>
      <c r="AA196" s="3" t="s">
        <v>624</v>
      </c>
      <c r="AB196" s="11" t="n">
        <v>46127</v>
      </c>
    </row>
    <row r="197" customFormat="false" ht="15" hidden="false" customHeight="false" outlineLevel="0" collapsed="false">
      <c r="A197" s="3" t="s">
        <v>724</v>
      </c>
      <c r="B197" s="3" t="s">
        <v>48</v>
      </c>
      <c r="C197" s="3" t="s">
        <v>198</v>
      </c>
      <c r="E197" s="3" t="s">
        <v>725</v>
      </c>
      <c r="F197" s="3" t="s">
        <v>622</v>
      </c>
      <c r="G197" s="3" t="s">
        <v>52</v>
      </c>
      <c r="H197" s="3" t="s">
        <v>623</v>
      </c>
      <c r="I197" s="3" t="s">
        <v>726</v>
      </c>
      <c r="M197" s="8" t="n">
        <v>1100694</v>
      </c>
      <c r="N197" s="8" t="n">
        <v>513687</v>
      </c>
      <c r="O197" s="9" t="n">
        <v>7.4</v>
      </c>
      <c r="P197" s="9" t="n">
        <v>58</v>
      </c>
      <c r="R197" s="9" t="n">
        <v>1</v>
      </c>
      <c r="T197" s="10" t="n">
        <v>16</v>
      </c>
      <c r="U197" s="9" t="n">
        <v>8</v>
      </c>
      <c r="V197" s="3" t="s">
        <v>55</v>
      </c>
      <c r="W197" s="9" t="n">
        <v>1</v>
      </c>
      <c r="Z197" s="3" t="s">
        <v>56</v>
      </c>
      <c r="AA197" s="3" t="s">
        <v>624</v>
      </c>
      <c r="AB197" s="11" t="n">
        <v>46127</v>
      </c>
    </row>
    <row r="198" customFormat="false" ht="15" hidden="false" customHeight="false" outlineLevel="0" collapsed="false">
      <c r="A198" s="3" t="s">
        <v>727</v>
      </c>
      <c r="B198" s="3" t="s">
        <v>48</v>
      </c>
      <c r="C198" s="3" t="s">
        <v>202</v>
      </c>
      <c r="E198" s="3" t="s">
        <v>728</v>
      </c>
      <c r="F198" s="3" t="s">
        <v>622</v>
      </c>
      <c r="G198" s="3" t="s">
        <v>52</v>
      </c>
      <c r="H198" s="3" t="s">
        <v>623</v>
      </c>
      <c r="I198" s="3" t="s">
        <v>729</v>
      </c>
      <c r="M198" s="8" t="n">
        <v>731665</v>
      </c>
      <c r="N198" s="8" t="n">
        <v>672567</v>
      </c>
      <c r="O198" s="9" t="n">
        <v>5.9</v>
      </c>
      <c r="P198" s="9" t="n">
        <v>46</v>
      </c>
      <c r="R198" s="9" t="n">
        <v>1</v>
      </c>
      <c r="T198" s="10" t="n">
        <v>48.4</v>
      </c>
      <c r="U198" s="9" t="n">
        <v>3</v>
      </c>
      <c r="V198" s="3" t="s">
        <v>62</v>
      </c>
      <c r="W198" s="9" t="n">
        <v>1</v>
      </c>
      <c r="Z198" s="3" t="s">
        <v>56</v>
      </c>
      <c r="AA198" s="3" t="s">
        <v>624</v>
      </c>
      <c r="AB198" s="11" t="n">
        <v>46127</v>
      </c>
    </row>
    <row r="199" customFormat="false" ht="15" hidden="false" customHeight="false" outlineLevel="0" collapsed="false">
      <c r="A199" s="3" t="s">
        <v>730</v>
      </c>
      <c r="B199" s="3" t="s">
        <v>48</v>
      </c>
      <c r="C199" s="3" t="s">
        <v>206</v>
      </c>
      <c r="E199" s="3" t="s">
        <v>731</v>
      </c>
      <c r="F199" s="3" t="s">
        <v>622</v>
      </c>
      <c r="G199" s="3" t="s">
        <v>52</v>
      </c>
      <c r="H199" s="3" t="s">
        <v>623</v>
      </c>
      <c r="I199" s="3" t="s">
        <v>732</v>
      </c>
      <c r="M199" s="8" t="n">
        <v>476321</v>
      </c>
      <c r="N199" s="8" t="n">
        <v>257601</v>
      </c>
      <c r="O199" s="9" t="n">
        <v>7.5</v>
      </c>
      <c r="P199" s="9" t="n">
        <v>47</v>
      </c>
      <c r="R199" s="9" t="n">
        <v>1</v>
      </c>
      <c r="T199" s="10" t="n">
        <v>71.6</v>
      </c>
      <c r="U199" s="9" t="n">
        <v>8</v>
      </c>
      <c r="V199" s="3" t="s">
        <v>92</v>
      </c>
      <c r="W199" s="9" t="n">
        <v>1</v>
      </c>
      <c r="Z199" s="3" t="s">
        <v>56</v>
      </c>
      <c r="AA199" s="3" t="s">
        <v>624</v>
      </c>
      <c r="AB199" s="11" t="n">
        <v>46127</v>
      </c>
    </row>
    <row r="200" customFormat="false" ht="15" hidden="false" customHeight="false" outlineLevel="0" collapsed="false">
      <c r="A200" s="3" t="s">
        <v>733</v>
      </c>
      <c r="B200" s="3" t="s">
        <v>48</v>
      </c>
      <c r="C200" s="3" t="s">
        <v>210</v>
      </c>
      <c r="E200" s="3" t="s">
        <v>734</v>
      </c>
      <c r="F200" s="3" t="s">
        <v>622</v>
      </c>
      <c r="G200" s="3" t="s">
        <v>52</v>
      </c>
      <c r="H200" s="3" t="s">
        <v>623</v>
      </c>
      <c r="I200" s="3" t="s">
        <v>735</v>
      </c>
      <c r="M200" s="8" t="n">
        <v>357935</v>
      </c>
      <c r="N200" s="8" t="n">
        <v>419189</v>
      </c>
      <c r="O200" s="9" t="n">
        <v>25.4</v>
      </c>
      <c r="P200" s="9" t="n">
        <v>60</v>
      </c>
      <c r="R200" s="9" t="n">
        <v>1</v>
      </c>
      <c r="T200" s="10" t="n">
        <v>35.8</v>
      </c>
      <c r="U200" s="9" t="n">
        <v>1</v>
      </c>
      <c r="V200" s="3" t="s">
        <v>62</v>
      </c>
      <c r="W200" s="9" t="n">
        <v>1</v>
      </c>
      <c r="Z200" s="3" t="s">
        <v>56</v>
      </c>
      <c r="AA200" s="3" t="s">
        <v>624</v>
      </c>
      <c r="AB200" s="11" t="n">
        <v>46127</v>
      </c>
    </row>
    <row r="201" customFormat="false" ht="15" hidden="false" customHeight="false" outlineLevel="0" collapsed="false">
      <c r="A201" s="3" t="s">
        <v>736</v>
      </c>
      <c r="B201" s="3" t="s">
        <v>48</v>
      </c>
      <c r="C201" s="3" t="s">
        <v>214</v>
      </c>
      <c r="E201" s="3" t="s">
        <v>737</v>
      </c>
      <c r="F201" s="3" t="s">
        <v>622</v>
      </c>
      <c r="G201" s="3" t="s">
        <v>52</v>
      </c>
      <c r="H201" s="3" t="s">
        <v>623</v>
      </c>
      <c r="I201" s="3" t="s">
        <v>738</v>
      </c>
      <c r="M201" s="8" t="n">
        <v>496244</v>
      </c>
      <c r="N201" s="8" t="n">
        <v>430571</v>
      </c>
      <c r="O201" s="9" t="n">
        <v>9.1</v>
      </c>
      <c r="P201" s="9" t="n">
        <v>35</v>
      </c>
      <c r="R201" s="9" t="n">
        <v>1</v>
      </c>
      <c r="T201" s="10" t="n">
        <v>34.4</v>
      </c>
      <c r="U201" s="9" t="n">
        <v>4</v>
      </c>
      <c r="V201" s="3" t="s">
        <v>92</v>
      </c>
      <c r="W201" s="9" t="n">
        <v>1</v>
      </c>
      <c r="Z201" s="3" t="s">
        <v>56</v>
      </c>
      <c r="AA201" s="3" t="s">
        <v>624</v>
      </c>
      <c r="AB201" s="11" t="n">
        <v>46127</v>
      </c>
    </row>
    <row r="202" customFormat="false" ht="15" hidden="false" customHeight="false" outlineLevel="0" collapsed="false">
      <c r="A202" s="3" t="s">
        <v>739</v>
      </c>
      <c r="B202" s="3" t="s">
        <v>48</v>
      </c>
      <c r="C202" s="3" t="s">
        <v>218</v>
      </c>
      <c r="E202" s="3" t="s">
        <v>740</v>
      </c>
      <c r="F202" s="3" t="s">
        <v>622</v>
      </c>
      <c r="G202" s="3" t="s">
        <v>52</v>
      </c>
      <c r="H202" s="3" t="s">
        <v>623</v>
      </c>
      <c r="I202" s="3" t="s">
        <v>741</v>
      </c>
      <c r="M202" s="8" t="n">
        <v>137043</v>
      </c>
      <c r="N202" s="8" t="n">
        <v>102027</v>
      </c>
      <c r="O202" s="9" t="n">
        <v>25.4</v>
      </c>
      <c r="P202" s="9" t="n">
        <v>37</v>
      </c>
      <c r="R202" s="9" t="n">
        <v>1</v>
      </c>
      <c r="T202" s="10" t="n">
        <v>76.9</v>
      </c>
      <c r="U202" s="9" t="n">
        <v>8</v>
      </c>
      <c r="V202" s="3" t="s">
        <v>55</v>
      </c>
      <c r="W202" s="9" t="n">
        <v>1</v>
      </c>
      <c r="Z202" s="3" t="s">
        <v>56</v>
      </c>
      <c r="AA202" s="3" t="s">
        <v>624</v>
      </c>
      <c r="AB202" s="11" t="n">
        <v>46127</v>
      </c>
    </row>
    <row r="203" customFormat="false" ht="15" hidden="false" customHeight="false" outlineLevel="0" collapsed="false">
      <c r="A203" s="3" t="s">
        <v>742</v>
      </c>
      <c r="B203" s="3" t="s">
        <v>48</v>
      </c>
      <c r="C203" s="3" t="s">
        <v>222</v>
      </c>
      <c r="E203" s="3" t="s">
        <v>743</v>
      </c>
      <c r="F203" s="3" t="s">
        <v>622</v>
      </c>
      <c r="G203" s="3" t="s">
        <v>52</v>
      </c>
      <c r="H203" s="3" t="s">
        <v>623</v>
      </c>
      <c r="I203" s="3" t="s">
        <v>744</v>
      </c>
      <c r="M203" s="8" t="n">
        <v>784821</v>
      </c>
      <c r="N203" s="8" t="n">
        <v>133012</v>
      </c>
      <c r="O203" s="9" t="n">
        <v>4.2</v>
      </c>
      <c r="P203" s="9" t="n">
        <v>71</v>
      </c>
      <c r="R203" s="9" t="n">
        <v>1</v>
      </c>
      <c r="T203" s="10" t="n">
        <v>55.1</v>
      </c>
      <c r="U203" s="9" t="n">
        <v>10</v>
      </c>
      <c r="V203" s="3" t="s">
        <v>55</v>
      </c>
      <c r="W203" s="9" t="n">
        <v>1</v>
      </c>
      <c r="Z203" s="3" t="s">
        <v>56</v>
      </c>
      <c r="AA203" s="3" t="s">
        <v>624</v>
      </c>
      <c r="AB203" s="11" t="n">
        <v>46127</v>
      </c>
    </row>
    <row r="204" customFormat="false" ht="15" hidden="false" customHeight="false" outlineLevel="0" collapsed="false">
      <c r="A204" s="3" t="s">
        <v>745</v>
      </c>
      <c r="B204" s="3" t="s">
        <v>48</v>
      </c>
      <c r="C204" s="3" t="s">
        <v>226</v>
      </c>
      <c r="E204" s="3" t="s">
        <v>746</v>
      </c>
      <c r="F204" s="3" t="s">
        <v>622</v>
      </c>
      <c r="G204" s="3" t="s">
        <v>52</v>
      </c>
      <c r="H204" s="3" t="s">
        <v>623</v>
      </c>
      <c r="I204" s="3" t="s">
        <v>747</v>
      </c>
      <c r="M204" s="8" t="n">
        <v>244952</v>
      </c>
      <c r="N204" s="8" t="n">
        <v>469920</v>
      </c>
      <c r="O204" s="9" t="n">
        <v>23.9</v>
      </c>
      <c r="P204" s="9" t="n">
        <v>74</v>
      </c>
      <c r="R204" s="9" t="n">
        <v>1</v>
      </c>
      <c r="T204" s="10" t="n">
        <v>66.5</v>
      </c>
      <c r="U204" s="9" t="n">
        <v>6</v>
      </c>
      <c r="V204" s="3" t="s">
        <v>92</v>
      </c>
      <c r="W204" s="9" t="n">
        <v>1</v>
      </c>
      <c r="Z204" s="3" t="s">
        <v>56</v>
      </c>
      <c r="AA204" s="3" t="s">
        <v>624</v>
      </c>
      <c r="AB204" s="11" t="n">
        <v>46127</v>
      </c>
    </row>
    <row r="205" customFormat="false" ht="15" hidden="false" customHeight="false" outlineLevel="0" collapsed="false">
      <c r="A205" s="3" t="s">
        <v>748</v>
      </c>
      <c r="B205" s="3" t="s">
        <v>48</v>
      </c>
      <c r="C205" s="3" t="s">
        <v>230</v>
      </c>
      <c r="E205" s="3" t="s">
        <v>749</v>
      </c>
      <c r="F205" s="3" t="s">
        <v>622</v>
      </c>
      <c r="G205" s="3" t="s">
        <v>52</v>
      </c>
      <c r="H205" s="3" t="s">
        <v>623</v>
      </c>
      <c r="I205" s="3" t="s">
        <v>750</v>
      </c>
      <c r="M205" s="8" t="n">
        <v>213073</v>
      </c>
      <c r="N205" s="8" t="n">
        <v>624033</v>
      </c>
      <c r="O205" s="9" t="n">
        <v>26.3</v>
      </c>
      <c r="P205" s="9" t="n">
        <v>35</v>
      </c>
      <c r="R205" s="9" t="n">
        <v>1</v>
      </c>
      <c r="T205" s="10" t="n">
        <v>51.2</v>
      </c>
      <c r="U205" s="9" t="n">
        <v>10</v>
      </c>
      <c r="V205" s="3" t="s">
        <v>83</v>
      </c>
      <c r="W205" s="9" t="n">
        <v>1</v>
      </c>
      <c r="Z205" s="3" t="s">
        <v>56</v>
      </c>
      <c r="AA205" s="3" t="s">
        <v>624</v>
      </c>
      <c r="AB205" s="11" t="n">
        <v>46127</v>
      </c>
    </row>
    <row r="206" customFormat="false" ht="15" hidden="false" customHeight="false" outlineLevel="0" collapsed="false">
      <c r="A206" s="3" t="s">
        <v>751</v>
      </c>
      <c r="B206" s="3" t="s">
        <v>48</v>
      </c>
      <c r="C206" s="3" t="s">
        <v>234</v>
      </c>
      <c r="E206" s="3" t="s">
        <v>752</v>
      </c>
      <c r="F206" s="3" t="s">
        <v>622</v>
      </c>
      <c r="G206" s="3" t="s">
        <v>52</v>
      </c>
      <c r="H206" s="3" t="s">
        <v>623</v>
      </c>
      <c r="I206" s="3" t="s">
        <v>753</v>
      </c>
      <c r="M206" s="8" t="n">
        <v>260155</v>
      </c>
      <c r="N206" s="8" t="n">
        <v>452939</v>
      </c>
      <c r="O206" s="9" t="n">
        <v>18.2</v>
      </c>
      <c r="P206" s="9" t="n">
        <v>62</v>
      </c>
      <c r="R206" s="9" t="n">
        <v>1</v>
      </c>
      <c r="T206" s="10" t="n">
        <v>17.6</v>
      </c>
      <c r="U206" s="9" t="n">
        <v>7</v>
      </c>
      <c r="V206" s="3" t="s">
        <v>55</v>
      </c>
      <c r="W206" s="9" t="n">
        <v>1</v>
      </c>
      <c r="Z206" s="3" t="s">
        <v>56</v>
      </c>
      <c r="AA206" s="3" t="s">
        <v>624</v>
      </c>
      <c r="AB206" s="11" t="n">
        <v>46127</v>
      </c>
    </row>
    <row r="207" customFormat="false" ht="15" hidden="false" customHeight="false" outlineLevel="0" collapsed="false">
      <c r="A207" s="3" t="s">
        <v>754</v>
      </c>
      <c r="B207" s="3" t="s">
        <v>48</v>
      </c>
      <c r="C207" s="3" t="s">
        <v>238</v>
      </c>
      <c r="E207" s="3" t="s">
        <v>755</v>
      </c>
      <c r="F207" s="3" t="s">
        <v>622</v>
      </c>
      <c r="G207" s="3" t="s">
        <v>52</v>
      </c>
      <c r="H207" s="3" t="s">
        <v>623</v>
      </c>
      <c r="I207" s="3" t="s">
        <v>756</v>
      </c>
      <c r="M207" s="8" t="n">
        <v>544904</v>
      </c>
      <c r="N207" s="8" t="n">
        <v>190101</v>
      </c>
      <c r="O207" s="9" t="n">
        <v>4.4</v>
      </c>
      <c r="P207" s="9" t="n">
        <v>60</v>
      </c>
      <c r="R207" s="9" t="n">
        <v>1</v>
      </c>
      <c r="T207" s="10" t="n">
        <v>25.5</v>
      </c>
      <c r="U207" s="9" t="n">
        <v>5</v>
      </c>
      <c r="V207" s="3" t="s">
        <v>92</v>
      </c>
      <c r="W207" s="9" t="n">
        <v>1</v>
      </c>
      <c r="Z207" s="3" t="s">
        <v>56</v>
      </c>
      <c r="AA207" s="3" t="s">
        <v>624</v>
      </c>
      <c r="AB207" s="11" t="n">
        <v>46127</v>
      </c>
    </row>
    <row r="208" customFormat="false" ht="15" hidden="false" customHeight="false" outlineLevel="0" collapsed="false">
      <c r="A208" s="3" t="s">
        <v>757</v>
      </c>
      <c r="B208" s="3" t="s">
        <v>48</v>
      </c>
      <c r="C208" s="3" t="s">
        <v>242</v>
      </c>
      <c r="E208" s="3" t="s">
        <v>758</v>
      </c>
      <c r="F208" s="3" t="s">
        <v>622</v>
      </c>
      <c r="G208" s="3" t="s">
        <v>52</v>
      </c>
      <c r="H208" s="3" t="s">
        <v>623</v>
      </c>
      <c r="I208" s="3" t="s">
        <v>759</v>
      </c>
      <c r="M208" s="8" t="n">
        <v>231434</v>
      </c>
      <c r="N208" s="8" t="n">
        <v>596136</v>
      </c>
      <c r="O208" s="9" t="n">
        <v>2.8</v>
      </c>
      <c r="P208" s="9" t="n">
        <v>45</v>
      </c>
      <c r="R208" s="9" t="n">
        <v>1</v>
      </c>
      <c r="T208" s="10" t="n">
        <v>76</v>
      </c>
      <c r="U208" s="9" t="n">
        <v>5</v>
      </c>
      <c r="V208" s="3" t="s">
        <v>55</v>
      </c>
      <c r="W208" s="9" t="n">
        <v>1</v>
      </c>
      <c r="Z208" s="3" t="s">
        <v>56</v>
      </c>
      <c r="AA208" s="3" t="s">
        <v>624</v>
      </c>
      <c r="AB208" s="11" t="n">
        <v>46127</v>
      </c>
    </row>
    <row r="209" customFormat="false" ht="15" hidden="false" customHeight="false" outlineLevel="0" collapsed="false">
      <c r="A209" s="3" t="s">
        <v>760</v>
      </c>
      <c r="B209" s="3" t="s">
        <v>48</v>
      </c>
      <c r="C209" s="3" t="s">
        <v>246</v>
      </c>
      <c r="E209" s="3" t="s">
        <v>761</v>
      </c>
      <c r="F209" s="3" t="s">
        <v>622</v>
      </c>
      <c r="G209" s="3" t="s">
        <v>52</v>
      </c>
      <c r="H209" s="3" t="s">
        <v>623</v>
      </c>
      <c r="I209" s="3" t="s">
        <v>762</v>
      </c>
      <c r="M209" s="8" t="n">
        <v>584582</v>
      </c>
      <c r="N209" s="8" t="n">
        <v>324352</v>
      </c>
      <c r="O209" s="9" t="n">
        <v>12.2</v>
      </c>
      <c r="P209" s="9" t="n">
        <v>71</v>
      </c>
      <c r="R209" s="9" t="n">
        <v>1</v>
      </c>
      <c r="T209" s="10" t="n">
        <v>59.1</v>
      </c>
      <c r="U209" s="9" t="n">
        <v>2</v>
      </c>
      <c r="V209" s="3" t="s">
        <v>83</v>
      </c>
      <c r="W209" s="9" t="n">
        <v>1</v>
      </c>
      <c r="Z209" s="3" t="s">
        <v>56</v>
      </c>
      <c r="AA209" s="3" t="s">
        <v>624</v>
      </c>
      <c r="AB209" s="11" t="n">
        <v>46127</v>
      </c>
    </row>
    <row r="210" customFormat="false" ht="15" hidden="false" customHeight="false" outlineLevel="0" collapsed="false">
      <c r="A210" s="3" t="s">
        <v>763</v>
      </c>
      <c r="B210" s="3" t="s">
        <v>48</v>
      </c>
      <c r="C210" s="3" t="s">
        <v>250</v>
      </c>
      <c r="E210" s="3" t="s">
        <v>764</v>
      </c>
      <c r="F210" s="3" t="s">
        <v>622</v>
      </c>
      <c r="G210" s="3" t="s">
        <v>52</v>
      </c>
      <c r="H210" s="3" t="s">
        <v>623</v>
      </c>
      <c r="I210" s="3" t="s">
        <v>765</v>
      </c>
      <c r="M210" s="8" t="n">
        <v>240261</v>
      </c>
      <c r="N210" s="8" t="n">
        <v>195475</v>
      </c>
      <c r="O210" s="9" t="n">
        <v>24.4</v>
      </c>
      <c r="P210" s="9" t="n">
        <v>44</v>
      </c>
      <c r="R210" s="9" t="n">
        <v>1</v>
      </c>
      <c r="T210" s="10" t="n">
        <v>64.3</v>
      </c>
      <c r="U210" s="9" t="n">
        <v>10</v>
      </c>
      <c r="V210" s="3" t="s">
        <v>92</v>
      </c>
      <c r="W210" s="9" t="n">
        <v>1</v>
      </c>
      <c r="Z210" s="3" t="s">
        <v>56</v>
      </c>
      <c r="AA210" s="3" t="s">
        <v>624</v>
      </c>
      <c r="AB210" s="11" t="n">
        <v>46127</v>
      </c>
    </row>
    <row r="211" customFormat="false" ht="15" hidden="false" customHeight="false" outlineLevel="0" collapsed="false">
      <c r="A211" s="3" t="s">
        <v>766</v>
      </c>
      <c r="B211" s="3" t="s">
        <v>48</v>
      </c>
      <c r="C211" s="3" t="s">
        <v>254</v>
      </c>
      <c r="E211" s="3" t="s">
        <v>767</v>
      </c>
      <c r="F211" s="3" t="s">
        <v>622</v>
      </c>
      <c r="G211" s="3" t="s">
        <v>52</v>
      </c>
      <c r="H211" s="3" t="s">
        <v>623</v>
      </c>
      <c r="I211" s="3" t="s">
        <v>768</v>
      </c>
      <c r="M211" s="8" t="n">
        <v>875338</v>
      </c>
      <c r="N211" s="8" t="n">
        <v>250601</v>
      </c>
      <c r="O211" s="9" t="n">
        <v>15.7</v>
      </c>
      <c r="P211" s="9" t="n">
        <v>38</v>
      </c>
      <c r="R211" s="9" t="n">
        <v>1</v>
      </c>
      <c r="T211" s="10" t="n">
        <v>68.8</v>
      </c>
      <c r="U211" s="9" t="n">
        <v>8</v>
      </c>
      <c r="V211" s="3" t="s">
        <v>55</v>
      </c>
      <c r="W211" s="9" t="n">
        <v>1</v>
      </c>
      <c r="Z211" s="3" t="s">
        <v>56</v>
      </c>
      <c r="AA211" s="3" t="s">
        <v>624</v>
      </c>
      <c r="AB211" s="11" t="n">
        <v>46127</v>
      </c>
    </row>
    <row r="212" customFormat="false" ht="15" hidden="false" customHeight="false" outlineLevel="0" collapsed="false">
      <c r="A212" s="3" t="s">
        <v>769</v>
      </c>
      <c r="B212" s="3" t="s">
        <v>48</v>
      </c>
      <c r="C212" s="3" t="s">
        <v>258</v>
      </c>
      <c r="E212" s="3" t="s">
        <v>770</v>
      </c>
      <c r="F212" s="3" t="s">
        <v>622</v>
      </c>
      <c r="G212" s="3" t="s">
        <v>52</v>
      </c>
      <c r="H212" s="3" t="s">
        <v>623</v>
      </c>
      <c r="I212" s="3" t="s">
        <v>771</v>
      </c>
      <c r="M212" s="8" t="n">
        <v>239334</v>
      </c>
      <c r="N212" s="8" t="n">
        <v>163722</v>
      </c>
      <c r="O212" s="9" t="n">
        <v>2.4</v>
      </c>
      <c r="P212" s="9" t="n">
        <v>39</v>
      </c>
      <c r="R212" s="9" t="n">
        <v>1</v>
      </c>
      <c r="T212" s="10" t="n">
        <v>53.3</v>
      </c>
      <c r="U212" s="9" t="n">
        <v>5</v>
      </c>
      <c r="V212" s="3" t="s">
        <v>83</v>
      </c>
      <c r="W212" s="9" t="n">
        <v>1</v>
      </c>
      <c r="Z212" s="3" t="s">
        <v>56</v>
      </c>
      <c r="AA212" s="3" t="s">
        <v>624</v>
      </c>
      <c r="AB212" s="11" t="n">
        <v>46127</v>
      </c>
    </row>
    <row r="213" customFormat="false" ht="15" hidden="false" customHeight="false" outlineLevel="0" collapsed="false">
      <c r="A213" s="3" t="s">
        <v>772</v>
      </c>
      <c r="B213" s="3" t="s">
        <v>48</v>
      </c>
      <c r="C213" s="3" t="s">
        <v>262</v>
      </c>
      <c r="E213" s="3" t="s">
        <v>773</v>
      </c>
      <c r="F213" s="3" t="s">
        <v>622</v>
      </c>
      <c r="G213" s="3" t="s">
        <v>52</v>
      </c>
      <c r="H213" s="3" t="s">
        <v>623</v>
      </c>
      <c r="I213" s="3" t="s">
        <v>774</v>
      </c>
      <c r="M213" s="8" t="n">
        <v>684729</v>
      </c>
      <c r="N213" s="8" t="n">
        <v>302334</v>
      </c>
      <c r="O213" s="9" t="n">
        <v>1.6</v>
      </c>
      <c r="P213" s="9" t="n">
        <v>37</v>
      </c>
      <c r="R213" s="9" t="n">
        <v>1</v>
      </c>
      <c r="T213" s="10" t="n">
        <v>91.5</v>
      </c>
      <c r="U213" s="9" t="n">
        <v>3</v>
      </c>
      <c r="V213" s="3" t="s">
        <v>55</v>
      </c>
      <c r="W213" s="9" t="n">
        <v>1</v>
      </c>
      <c r="Z213" s="3" t="s">
        <v>56</v>
      </c>
      <c r="AA213" s="3" t="s">
        <v>624</v>
      </c>
      <c r="AB213" s="11" t="n">
        <v>46127</v>
      </c>
    </row>
    <row r="214" customFormat="false" ht="15" hidden="false" customHeight="false" outlineLevel="0" collapsed="false">
      <c r="A214" s="3" t="s">
        <v>775</v>
      </c>
      <c r="B214" s="3" t="s">
        <v>48</v>
      </c>
      <c r="C214" s="3" t="s">
        <v>266</v>
      </c>
      <c r="E214" s="3" t="s">
        <v>776</v>
      </c>
      <c r="F214" s="3" t="s">
        <v>622</v>
      </c>
      <c r="G214" s="3" t="s">
        <v>52</v>
      </c>
      <c r="H214" s="3" t="s">
        <v>623</v>
      </c>
      <c r="I214" s="3" t="s">
        <v>777</v>
      </c>
      <c r="M214" s="8" t="n">
        <v>2391140</v>
      </c>
      <c r="N214" s="8" t="n">
        <v>239653</v>
      </c>
      <c r="O214" s="9" t="n">
        <v>9.2</v>
      </c>
      <c r="P214" s="9" t="n">
        <v>44</v>
      </c>
      <c r="R214" s="9" t="n">
        <v>1</v>
      </c>
      <c r="T214" s="10" t="n">
        <v>23.3</v>
      </c>
      <c r="U214" s="9" t="n">
        <v>9</v>
      </c>
      <c r="V214" s="3" t="s">
        <v>62</v>
      </c>
      <c r="W214" s="9" t="n">
        <v>1</v>
      </c>
      <c r="Z214" s="3" t="s">
        <v>56</v>
      </c>
      <c r="AA214" s="3" t="s">
        <v>624</v>
      </c>
      <c r="AB214" s="11" t="n">
        <v>46127</v>
      </c>
    </row>
    <row r="215" customFormat="false" ht="15" hidden="false" customHeight="false" outlineLevel="0" collapsed="false">
      <c r="A215" s="3" t="s">
        <v>778</v>
      </c>
      <c r="B215" s="3" t="s">
        <v>48</v>
      </c>
      <c r="C215" s="3" t="s">
        <v>270</v>
      </c>
      <c r="E215" s="3" t="s">
        <v>779</v>
      </c>
      <c r="F215" s="3" t="s">
        <v>622</v>
      </c>
      <c r="G215" s="3" t="s">
        <v>52</v>
      </c>
      <c r="H215" s="3" t="s">
        <v>623</v>
      </c>
      <c r="I215" s="3" t="s">
        <v>780</v>
      </c>
      <c r="M215" s="8" t="n">
        <v>530185</v>
      </c>
      <c r="N215" s="8" t="n">
        <v>316786</v>
      </c>
      <c r="O215" s="9" t="n">
        <v>1.7</v>
      </c>
      <c r="P215" s="9" t="n">
        <v>65</v>
      </c>
      <c r="R215" s="9" t="n">
        <v>1</v>
      </c>
      <c r="T215" s="10" t="n">
        <v>71.2</v>
      </c>
      <c r="U215" s="9" t="n">
        <v>3</v>
      </c>
      <c r="V215" s="3" t="s">
        <v>62</v>
      </c>
      <c r="W215" s="9" t="n">
        <v>1</v>
      </c>
      <c r="Z215" s="3" t="s">
        <v>56</v>
      </c>
      <c r="AA215" s="3" t="s">
        <v>624</v>
      </c>
      <c r="AB215" s="11" t="n">
        <v>46127</v>
      </c>
    </row>
    <row r="216" customFormat="false" ht="15" hidden="false" customHeight="false" outlineLevel="0" collapsed="false">
      <c r="A216" s="3" t="s">
        <v>781</v>
      </c>
      <c r="B216" s="3" t="s">
        <v>48</v>
      </c>
      <c r="C216" s="3" t="s">
        <v>274</v>
      </c>
      <c r="E216" s="3" t="s">
        <v>782</v>
      </c>
      <c r="F216" s="3" t="s">
        <v>622</v>
      </c>
      <c r="G216" s="3" t="s">
        <v>52</v>
      </c>
      <c r="H216" s="3" t="s">
        <v>623</v>
      </c>
      <c r="I216" s="3" t="s">
        <v>783</v>
      </c>
      <c r="M216" s="8" t="n">
        <v>1162783</v>
      </c>
      <c r="N216" s="8" t="n">
        <v>174779</v>
      </c>
      <c r="O216" s="9" t="n">
        <v>28.1</v>
      </c>
      <c r="P216" s="9" t="n">
        <v>68</v>
      </c>
      <c r="R216" s="9" t="n">
        <v>1</v>
      </c>
      <c r="T216" s="10" t="n">
        <v>23.7</v>
      </c>
      <c r="U216" s="9" t="n">
        <v>10</v>
      </c>
      <c r="V216" s="3" t="s">
        <v>92</v>
      </c>
      <c r="W216" s="9" t="n">
        <v>1</v>
      </c>
      <c r="Z216" s="3" t="s">
        <v>56</v>
      </c>
      <c r="AA216" s="3" t="s">
        <v>624</v>
      </c>
      <c r="AB216" s="11" t="n">
        <v>46127</v>
      </c>
    </row>
    <row r="217" customFormat="false" ht="15" hidden="false" customHeight="false" outlineLevel="0" collapsed="false">
      <c r="A217" s="3" t="s">
        <v>784</v>
      </c>
      <c r="B217" s="3" t="s">
        <v>48</v>
      </c>
      <c r="C217" s="3" t="s">
        <v>278</v>
      </c>
      <c r="E217" s="3" t="s">
        <v>785</v>
      </c>
      <c r="F217" s="3" t="s">
        <v>622</v>
      </c>
      <c r="G217" s="3" t="s">
        <v>52</v>
      </c>
      <c r="H217" s="3" t="s">
        <v>623</v>
      </c>
      <c r="I217" s="3" t="s">
        <v>786</v>
      </c>
      <c r="M217" s="8" t="n">
        <v>255027</v>
      </c>
      <c r="N217" s="8" t="n">
        <v>109780</v>
      </c>
      <c r="O217" s="9" t="n">
        <v>30</v>
      </c>
      <c r="P217" s="9" t="n">
        <v>42</v>
      </c>
      <c r="R217" s="9" t="n">
        <v>1</v>
      </c>
      <c r="T217" s="10" t="n">
        <v>35.5</v>
      </c>
      <c r="U217" s="9" t="n">
        <v>5</v>
      </c>
      <c r="V217" s="3" t="s">
        <v>92</v>
      </c>
      <c r="W217" s="9" t="n">
        <v>1</v>
      </c>
      <c r="Z217" s="3" t="s">
        <v>56</v>
      </c>
      <c r="AA217" s="3" t="s">
        <v>624</v>
      </c>
      <c r="AB217" s="11" t="n">
        <v>46127</v>
      </c>
    </row>
    <row r="218" customFormat="false" ht="15" hidden="false" customHeight="false" outlineLevel="0" collapsed="false">
      <c r="A218" s="3" t="s">
        <v>787</v>
      </c>
      <c r="B218" s="3" t="s">
        <v>48</v>
      </c>
      <c r="C218" s="3" t="s">
        <v>282</v>
      </c>
      <c r="E218" s="3" t="s">
        <v>788</v>
      </c>
      <c r="F218" s="3" t="s">
        <v>622</v>
      </c>
      <c r="G218" s="3" t="s">
        <v>52</v>
      </c>
      <c r="H218" s="3" t="s">
        <v>623</v>
      </c>
      <c r="I218" s="3" t="s">
        <v>789</v>
      </c>
      <c r="M218" s="8" t="n">
        <v>210077</v>
      </c>
      <c r="N218" s="8" t="n">
        <v>673278</v>
      </c>
      <c r="O218" s="9" t="n">
        <v>10.8</v>
      </c>
      <c r="P218" s="9" t="n">
        <v>40</v>
      </c>
      <c r="R218" s="9" t="n">
        <v>1</v>
      </c>
      <c r="T218" s="10" t="n">
        <v>55.1</v>
      </c>
      <c r="U218" s="9" t="n">
        <v>8</v>
      </c>
      <c r="V218" s="3" t="s">
        <v>83</v>
      </c>
      <c r="W218" s="9" t="n">
        <v>1</v>
      </c>
      <c r="Z218" s="3" t="s">
        <v>56</v>
      </c>
      <c r="AA218" s="3" t="s">
        <v>624</v>
      </c>
      <c r="AB218" s="11" t="n">
        <v>46127</v>
      </c>
    </row>
    <row r="219" customFormat="false" ht="15" hidden="false" customHeight="false" outlineLevel="0" collapsed="false">
      <c r="A219" s="3" t="s">
        <v>790</v>
      </c>
      <c r="B219" s="3" t="s">
        <v>48</v>
      </c>
      <c r="C219" s="3" t="s">
        <v>286</v>
      </c>
      <c r="E219" s="3" t="s">
        <v>791</v>
      </c>
      <c r="F219" s="3" t="s">
        <v>622</v>
      </c>
      <c r="G219" s="3" t="s">
        <v>52</v>
      </c>
      <c r="H219" s="3" t="s">
        <v>623</v>
      </c>
      <c r="I219" s="3" t="s">
        <v>792</v>
      </c>
      <c r="M219" s="8" t="n">
        <v>1292548</v>
      </c>
      <c r="N219" s="8" t="n">
        <v>325403</v>
      </c>
      <c r="O219" s="9" t="n">
        <v>4.4</v>
      </c>
      <c r="P219" s="9" t="n">
        <v>49</v>
      </c>
      <c r="R219" s="9" t="n">
        <v>1</v>
      </c>
      <c r="T219" s="10" t="n">
        <v>67.9</v>
      </c>
      <c r="U219" s="9" t="n">
        <v>1</v>
      </c>
      <c r="V219" s="3" t="s">
        <v>62</v>
      </c>
      <c r="W219" s="9" t="n">
        <v>1</v>
      </c>
      <c r="Z219" s="3" t="s">
        <v>56</v>
      </c>
      <c r="AA219" s="3" t="s">
        <v>624</v>
      </c>
      <c r="AB219" s="11" t="n">
        <v>46127</v>
      </c>
    </row>
    <row r="220" customFormat="false" ht="15" hidden="false" customHeight="false" outlineLevel="0" collapsed="false">
      <c r="A220" s="3" t="s">
        <v>793</v>
      </c>
      <c r="B220" s="3" t="s">
        <v>48</v>
      </c>
      <c r="C220" s="3" t="s">
        <v>290</v>
      </c>
      <c r="E220" s="3" t="s">
        <v>794</v>
      </c>
      <c r="F220" s="3" t="s">
        <v>622</v>
      </c>
      <c r="G220" s="3" t="s">
        <v>52</v>
      </c>
      <c r="H220" s="3" t="s">
        <v>623</v>
      </c>
      <c r="I220" s="3" t="s">
        <v>795</v>
      </c>
      <c r="M220" s="8" t="n">
        <v>279419</v>
      </c>
      <c r="N220" s="8" t="n">
        <v>195350</v>
      </c>
      <c r="O220" s="9" t="n">
        <v>4.4</v>
      </c>
      <c r="P220" s="9" t="n">
        <v>76</v>
      </c>
      <c r="R220" s="9" t="n">
        <v>1</v>
      </c>
      <c r="T220" s="10" t="n">
        <v>64.5</v>
      </c>
      <c r="U220" s="9" t="n">
        <v>8</v>
      </c>
      <c r="V220" s="3" t="s">
        <v>55</v>
      </c>
      <c r="W220" s="9" t="n">
        <v>1</v>
      </c>
      <c r="Z220" s="3" t="s">
        <v>56</v>
      </c>
      <c r="AA220" s="3" t="s">
        <v>624</v>
      </c>
      <c r="AB220" s="11" t="n">
        <v>46127</v>
      </c>
    </row>
    <row r="221" customFormat="false" ht="15" hidden="false" customHeight="false" outlineLevel="0" collapsed="false">
      <c r="A221" s="3" t="s">
        <v>796</v>
      </c>
      <c r="B221" s="3" t="s">
        <v>48</v>
      </c>
      <c r="C221" s="3" t="s">
        <v>294</v>
      </c>
      <c r="E221" s="3" t="s">
        <v>227</v>
      </c>
      <c r="F221" s="3" t="s">
        <v>622</v>
      </c>
      <c r="G221" s="3" t="s">
        <v>52</v>
      </c>
      <c r="H221" s="3" t="s">
        <v>623</v>
      </c>
      <c r="I221" s="3" t="s">
        <v>797</v>
      </c>
      <c r="M221" s="8" t="n">
        <v>207786</v>
      </c>
      <c r="N221" s="8" t="n">
        <v>186660</v>
      </c>
      <c r="O221" s="9" t="n">
        <v>2.7</v>
      </c>
      <c r="P221" s="9" t="n">
        <v>70</v>
      </c>
      <c r="R221" s="9" t="n">
        <v>1</v>
      </c>
      <c r="T221" s="10" t="n">
        <v>89</v>
      </c>
      <c r="U221" s="9" t="n">
        <v>6</v>
      </c>
      <c r="V221" s="3" t="s">
        <v>62</v>
      </c>
      <c r="W221" s="9" t="n">
        <v>1</v>
      </c>
      <c r="Z221" s="3" t="s">
        <v>56</v>
      </c>
      <c r="AA221" s="3" t="s">
        <v>624</v>
      </c>
      <c r="AB221" s="11" t="n">
        <v>46127</v>
      </c>
    </row>
    <row r="222" customFormat="false" ht="15" hidden="false" customHeight="false" outlineLevel="0" collapsed="false">
      <c r="A222" s="3" t="s">
        <v>798</v>
      </c>
      <c r="B222" s="3" t="s">
        <v>48</v>
      </c>
      <c r="C222" s="3" t="s">
        <v>298</v>
      </c>
      <c r="E222" s="3" t="s">
        <v>799</v>
      </c>
      <c r="F222" s="3" t="s">
        <v>622</v>
      </c>
      <c r="G222" s="3" t="s">
        <v>52</v>
      </c>
      <c r="H222" s="3" t="s">
        <v>623</v>
      </c>
      <c r="I222" s="3" t="s">
        <v>800</v>
      </c>
      <c r="M222" s="8" t="n">
        <v>1120704</v>
      </c>
      <c r="N222" s="8" t="n">
        <v>320804</v>
      </c>
      <c r="O222" s="9" t="n">
        <v>19.2</v>
      </c>
      <c r="P222" s="9" t="n">
        <v>76</v>
      </c>
      <c r="R222" s="9" t="n">
        <v>1</v>
      </c>
      <c r="T222" s="10" t="n">
        <v>51.6</v>
      </c>
      <c r="U222" s="9" t="n">
        <v>9</v>
      </c>
      <c r="V222" s="3" t="s">
        <v>55</v>
      </c>
      <c r="W222" s="9" t="n">
        <v>1</v>
      </c>
      <c r="Z222" s="3" t="s">
        <v>56</v>
      </c>
      <c r="AA222" s="3" t="s">
        <v>624</v>
      </c>
      <c r="AB222" s="11" t="n">
        <v>46127</v>
      </c>
    </row>
    <row r="223" customFormat="false" ht="15" hidden="false" customHeight="false" outlineLevel="0" collapsed="false">
      <c r="A223" s="3" t="s">
        <v>801</v>
      </c>
      <c r="B223" s="3" t="s">
        <v>48</v>
      </c>
      <c r="C223" s="3" t="s">
        <v>302</v>
      </c>
      <c r="E223" s="3" t="s">
        <v>802</v>
      </c>
      <c r="F223" s="3" t="s">
        <v>622</v>
      </c>
      <c r="G223" s="3" t="s">
        <v>52</v>
      </c>
      <c r="H223" s="3" t="s">
        <v>623</v>
      </c>
      <c r="I223" s="3" t="s">
        <v>803</v>
      </c>
      <c r="M223" s="8" t="n">
        <v>181847</v>
      </c>
      <c r="N223" s="8" t="n">
        <v>486660</v>
      </c>
      <c r="O223" s="9" t="n">
        <v>23.8</v>
      </c>
      <c r="P223" s="9" t="n">
        <v>54</v>
      </c>
      <c r="R223" s="9" t="n">
        <v>1</v>
      </c>
      <c r="T223" s="10" t="n">
        <v>65.6</v>
      </c>
      <c r="U223" s="9" t="n">
        <v>6</v>
      </c>
      <c r="V223" s="3" t="s">
        <v>83</v>
      </c>
      <c r="W223" s="9" t="n">
        <v>1</v>
      </c>
      <c r="Z223" s="3" t="s">
        <v>56</v>
      </c>
      <c r="AA223" s="3" t="s">
        <v>624</v>
      </c>
      <c r="AB223" s="11" t="n">
        <v>46127</v>
      </c>
    </row>
    <row r="224" customFormat="false" ht="15" hidden="false" customHeight="false" outlineLevel="0" collapsed="false">
      <c r="A224" s="3" t="s">
        <v>804</v>
      </c>
      <c r="B224" s="3" t="s">
        <v>48</v>
      </c>
      <c r="C224" s="3" t="s">
        <v>306</v>
      </c>
      <c r="E224" s="3" t="s">
        <v>805</v>
      </c>
      <c r="F224" s="3" t="s">
        <v>622</v>
      </c>
      <c r="G224" s="3" t="s">
        <v>52</v>
      </c>
      <c r="H224" s="3" t="s">
        <v>623</v>
      </c>
      <c r="I224" s="3" t="s">
        <v>806</v>
      </c>
      <c r="M224" s="8" t="n">
        <v>195739</v>
      </c>
      <c r="N224" s="8" t="n">
        <v>172490</v>
      </c>
      <c r="O224" s="9" t="n">
        <v>4</v>
      </c>
      <c r="P224" s="9" t="n">
        <v>55</v>
      </c>
      <c r="R224" s="9" t="n">
        <v>1</v>
      </c>
      <c r="T224" s="10" t="n">
        <v>17.7</v>
      </c>
      <c r="U224" s="9" t="n">
        <v>1</v>
      </c>
      <c r="V224" s="3" t="s">
        <v>62</v>
      </c>
      <c r="W224" s="9" t="n">
        <v>1</v>
      </c>
      <c r="Z224" s="3" t="s">
        <v>56</v>
      </c>
      <c r="AA224" s="3" t="s">
        <v>624</v>
      </c>
      <c r="AB224" s="11" t="n">
        <v>46127</v>
      </c>
    </row>
    <row r="225" customFormat="false" ht="15" hidden="false" customHeight="false" outlineLevel="0" collapsed="false">
      <c r="A225" s="3" t="s">
        <v>807</v>
      </c>
      <c r="B225" s="3" t="s">
        <v>48</v>
      </c>
      <c r="C225" s="3" t="s">
        <v>310</v>
      </c>
      <c r="E225" s="3" t="s">
        <v>808</v>
      </c>
      <c r="F225" s="3" t="s">
        <v>622</v>
      </c>
      <c r="G225" s="3" t="s">
        <v>52</v>
      </c>
      <c r="H225" s="3" t="s">
        <v>623</v>
      </c>
      <c r="I225" s="3" t="s">
        <v>809</v>
      </c>
      <c r="M225" s="8" t="n">
        <v>458207</v>
      </c>
      <c r="N225" s="8" t="n">
        <v>216748</v>
      </c>
      <c r="O225" s="9" t="n">
        <v>6.3</v>
      </c>
      <c r="P225" s="9" t="n">
        <v>60</v>
      </c>
      <c r="R225" s="9" t="n">
        <v>1</v>
      </c>
      <c r="T225" s="10" t="n">
        <v>24.9</v>
      </c>
      <c r="U225" s="9" t="n">
        <v>6</v>
      </c>
      <c r="V225" s="3" t="s">
        <v>55</v>
      </c>
      <c r="W225" s="9" t="n">
        <v>1</v>
      </c>
      <c r="Z225" s="3" t="s">
        <v>56</v>
      </c>
      <c r="AA225" s="3" t="s">
        <v>624</v>
      </c>
      <c r="AB225" s="11" t="n">
        <v>46127</v>
      </c>
    </row>
    <row r="226" customFormat="false" ht="15" hidden="false" customHeight="false" outlineLevel="0" collapsed="false">
      <c r="A226" s="3" t="s">
        <v>810</v>
      </c>
      <c r="B226" s="3" t="s">
        <v>48</v>
      </c>
      <c r="C226" s="3" t="s">
        <v>314</v>
      </c>
      <c r="E226" s="3" t="s">
        <v>811</v>
      </c>
      <c r="F226" s="3" t="s">
        <v>622</v>
      </c>
      <c r="G226" s="3" t="s">
        <v>52</v>
      </c>
      <c r="H226" s="3" t="s">
        <v>623</v>
      </c>
      <c r="I226" s="3" t="s">
        <v>812</v>
      </c>
      <c r="M226" s="8" t="n">
        <v>402656</v>
      </c>
      <c r="N226" s="8" t="n">
        <v>200126</v>
      </c>
      <c r="O226" s="9" t="n">
        <v>10.5</v>
      </c>
      <c r="P226" s="9" t="n">
        <v>66</v>
      </c>
      <c r="R226" s="9" t="n">
        <v>1</v>
      </c>
      <c r="T226" s="10" t="n">
        <v>59.9</v>
      </c>
      <c r="U226" s="9" t="n">
        <v>2</v>
      </c>
      <c r="V226" s="3" t="s">
        <v>92</v>
      </c>
      <c r="W226" s="9" t="n">
        <v>1</v>
      </c>
      <c r="Z226" s="3" t="s">
        <v>56</v>
      </c>
      <c r="AA226" s="3" t="s">
        <v>624</v>
      </c>
      <c r="AB226" s="11" t="n">
        <v>46127</v>
      </c>
    </row>
    <row r="227" customFormat="false" ht="15" hidden="false" customHeight="false" outlineLevel="0" collapsed="false">
      <c r="A227" s="3" t="s">
        <v>813</v>
      </c>
      <c r="B227" s="3" t="s">
        <v>48</v>
      </c>
      <c r="C227" s="3" t="s">
        <v>318</v>
      </c>
      <c r="E227" s="3" t="s">
        <v>814</v>
      </c>
      <c r="F227" s="3" t="s">
        <v>622</v>
      </c>
      <c r="G227" s="3" t="s">
        <v>52</v>
      </c>
      <c r="H227" s="3" t="s">
        <v>623</v>
      </c>
      <c r="I227" s="3" t="s">
        <v>815</v>
      </c>
      <c r="M227" s="8" t="n">
        <v>636217</v>
      </c>
      <c r="N227" s="8" t="n">
        <v>271982</v>
      </c>
      <c r="O227" s="9" t="n">
        <v>28.3</v>
      </c>
      <c r="P227" s="9" t="n">
        <v>36</v>
      </c>
      <c r="R227" s="9" t="n">
        <v>1</v>
      </c>
      <c r="T227" s="10" t="n">
        <v>42.6</v>
      </c>
      <c r="U227" s="9" t="n">
        <v>7</v>
      </c>
      <c r="V227" s="3" t="s">
        <v>92</v>
      </c>
      <c r="W227" s="9" t="n">
        <v>1</v>
      </c>
      <c r="Z227" s="3" t="s">
        <v>56</v>
      </c>
      <c r="AA227" s="3" t="s">
        <v>624</v>
      </c>
      <c r="AB227" s="11" t="n">
        <v>46127</v>
      </c>
    </row>
    <row r="228" customFormat="false" ht="15" hidden="false" customHeight="false" outlineLevel="0" collapsed="false">
      <c r="A228" s="3" t="s">
        <v>816</v>
      </c>
      <c r="B228" s="3" t="s">
        <v>48</v>
      </c>
      <c r="C228" s="3" t="s">
        <v>322</v>
      </c>
      <c r="E228" s="3" t="s">
        <v>817</v>
      </c>
      <c r="F228" s="3" t="s">
        <v>622</v>
      </c>
      <c r="G228" s="3" t="s">
        <v>52</v>
      </c>
      <c r="H228" s="3" t="s">
        <v>623</v>
      </c>
      <c r="I228" s="3" t="s">
        <v>818</v>
      </c>
      <c r="M228" s="8" t="n">
        <v>127262</v>
      </c>
      <c r="N228" s="8" t="n">
        <v>273406</v>
      </c>
      <c r="O228" s="9" t="n">
        <v>8</v>
      </c>
      <c r="P228" s="9" t="n">
        <v>50</v>
      </c>
      <c r="R228" s="9" t="n">
        <v>1</v>
      </c>
      <c r="T228" s="10" t="n">
        <v>42.7</v>
      </c>
      <c r="U228" s="9" t="n">
        <v>5</v>
      </c>
      <c r="V228" s="3" t="s">
        <v>55</v>
      </c>
      <c r="W228" s="9" t="n">
        <v>1</v>
      </c>
      <c r="Z228" s="3" t="s">
        <v>56</v>
      </c>
      <c r="AA228" s="3" t="s">
        <v>624</v>
      </c>
      <c r="AB228" s="11" t="n">
        <v>46127</v>
      </c>
    </row>
    <row r="229" customFormat="false" ht="15" hidden="false" customHeight="false" outlineLevel="0" collapsed="false">
      <c r="A229" s="3" t="s">
        <v>819</v>
      </c>
      <c r="B229" s="3" t="s">
        <v>48</v>
      </c>
      <c r="C229" s="3" t="s">
        <v>326</v>
      </c>
      <c r="E229" s="3" t="s">
        <v>820</v>
      </c>
      <c r="F229" s="3" t="s">
        <v>622</v>
      </c>
      <c r="G229" s="3" t="s">
        <v>52</v>
      </c>
      <c r="H229" s="3" t="s">
        <v>623</v>
      </c>
      <c r="I229" s="3" t="s">
        <v>821</v>
      </c>
      <c r="M229" s="8" t="n">
        <v>207756</v>
      </c>
      <c r="N229" s="8" t="n">
        <v>267776</v>
      </c>
      <c r="O229" s="9" t="n">
        <v>5.5</v>
      </c>
      <c r="P229" s="9" t="n">
        <v>59</v>
      </c>
      <c r="R229" s="9" t="n">
        <v>1</v>
      </c>
      <c r="T229" s="10" t="n">
        <v>70.9</v>
      </c>
      <c r="U229" s="9" t="n">
        <v>1</v>
      </c>
      <c r="V229" s="3" t="s">
        <v>92</v>
      </c>
      <c r="W229" s="9" t="n">
        <v>1</v>
      </c>
      <c r="Z229" s="3" t="s">
        <v>56</v>
      </c>
      <c r="AA229" s="3" t="s">
        <v>624</v>
      </c>
      <c r="AB229" s="11" t="n">
        <v>46127</v>
      </c>
    </row>
    <row r="230" customFormat="false" ht="15" hidden="false" customHeight="false" outlineLevel="0" collapsed="false">
      <c r="A230" s="3" t="s">
        <v>822</v>
      </c>
      <c r="B230" s="3" t="s">
        <v>48</v>
      </c>
      <c r="C230" s="3" t="s">
        <v>330</v>
      </c>
      <c r="E230" s="3" t="s">
        <v>823</v>
      </c>
      <c r="F230" s="3" t="s">
        <v>622</v>
      </c>
      <c r="G230" s="3" t="s">
        <v>52</v>
      </c>
      <c r="H230" s="3" t="s">
        <v>623</v>
      </c>
      <c r="I230" s="3" t="s">
        <v>824</v>
      </c>
      <c r="M230" s="8" t="n">
        <v>220271</v>
      </c>
      <c r="N230" s="8" t="n">
        <v>274632</v>
      </c>
      <c r="O230" s="9" t="n">
        <v>29.5</v>
      </c>
      <c r="P230" s="9" t="n">
        <v>59</v>
      </c>
      <c r="R230" s="9" t="n">
        <v>1</v>
      </c>
      <c r="T230" s="10" t="n">
        <v>82.3</v>
      </c>
      <c r="U230" s="9" t="n">
        <v>9</v>
      </c>
      <c r="V230" s="3" t="s">
        <v>83</v>
      </c>
      <c r="W230" s="9" t="n">
        <v>1</v>
      </c>
      <c r="Z230" s="3" t="s">
        <v>56</v>
      </c>
      <c r="AA230" s="3" t="s">
        <v>624</v>
      </c>
      <c r="AB230" s="11" t="n">
        <v>46127</v>
      </c>
    </row>
    <row r="231" customFormat="false" ht="15" hidden="false" customHeight="false" outlineLevel="0" collapsed="false">
      <c r="A231" s="3" t="s">
        <v>825</v>
      </c>
      <c r="B231" s="3" t="s">
        <v>48</v>
      </c>
      <c r="C231" s="3" t="s">
        <v>334</v>
      </c>
      <c r="E231" s="3" t="s">
        <v>826</v>
      </c>
      <c r="F231" s="3" t="s">
        <v>622</v>
      </c>
      <c r="G231" s="3" t="s">
        <v>52</v>
      </c>
      <c r="H231" s="3" t="s">
        <v>623</v>
      </c>
      <c r="I231" s="3" t="s">
        <v>827</v>
      </c>
      <c r="M231" s="8" t="n">
        <v>1155649</v>
      </c>
      <c r="N231" s="8" t="n">
        <v>197731</v>
      </c>
      <c r="O231" s="9" t="n">
        <v>12.6</v>
      </c>
      <c r="P231" s="9" t="n">
        <v>61</v>
      </c>
      <c r="R231" s="9" t="n">
        <v>1</v>
      </c>
      <c r="T231" s="10" t="n">
        <v>45.8</v>
      </c>
      <c r="U231" s="9" t="n">
        <v>1</v>
      </c>
      <c r="V231" s="3" t="s">
        <v>55</v>
      </c>
      <c r="W231" s="9" t="n">
        <v>1</v>
      </c>
      <c r="Z231" s="3" t="s">
        <v>56</v>
      </c>
      <c r="AA231" s="3" t="s">
        <v>624</v>
      </c>
      <c r="AB231" s="11" t="n">
        <v>46127</v>
      </c>
    </row>
    <row r="232" customFormat="false" ht="15" hidden="false" customHeight="false" outlineLevel="0" collapsed="false">
      <c r="A232" s="3" t="s">
        <v>828</v>
      </c>
      <c r="B232" s="3" t="s">
        <v>48</v>
      </c>
      <c r="C232" s="3" t="s">
        <v>338</v>
      </c>
      <c r="E232" s="3" t="s">
        <v>829</v>
      </c>
      <c r="F232" s="3" t="s">
        <v>622</v>
      </c>
      <c r="G232" s="3" t="s">
        <v>52</v>
      </c>
      <c r="H232" s="3" t="s">
        <v>623</v>
      </c>
      <c r="I232" s="3" t="s">
        <v>830</v>
      </c>
      <c r="M232" s="8" t="n">
        <v>285889</v>
      </c>
      <c r="N232" s="8" t="n">
        <v>192429</v>
      </c>
      <c r="O232" s="9" t="n">
        <v>19.6</v>
      </c>
      <c r="P232" s="9" t="n">
        <v>62</v>
      </c>
      <c r="R232" s="9" t="n">
        <v>2</v>
      </c>
      <c r="T232" s="10" t="n">
        <v>63.2</v>
      </c>
      <c r="U232" s="9" t="n">
        <v>8</v>
      </c>
      <c r="V232" s="3" t="s">
        <v>83</v>
      </c>
      <c r="W232" s="9" t="n">
        <v>1</v>
      </c>
      <c r="Z232" s="3" t="s">
        <v>56</v>
      </c>
      <c r="AA232" s="3" t="s">
        <v>624</v>
      </c>
      <c r="AB232" s="11" t="n">
        <v>46127</v>
      </c>
    </row>
    <row r="233" customFormat="false" ht="15" hidden="false" customHeight="false" outlineLevel="0" collapsed="false">
      <c r="A233" s="3" t="s">
        <v>831</v>
      </c>
      <c r="B233" s="3" t="s">
        <v>48</v>
      </c>
      <c r="C233" s="3" t="s">
        <v>342</v>
      </c>
      <c r="E233" s="3" t="s">
        <v>832</v>
      </c>
      <c r="F233" s="3" t="s">
        <v>622</v>
      </c>
      <c r="G233" s="3" t="s">
        <v>52</v>
      </c>
      <c r="H233" s="3" t="s">
        <v>623</v>
      </c>
      <c r="I233" s="3" t="s">
        <v>833</v>
      </c>
      <c r="M233" s="8" t="n">
        <v>384574</v>
      </c>
      <c r="N233" s="8" t="n">
        <v>359092</v>
      </c>
      <c r="O233" s="9" t="n">
        <v>18.8</v>
      </c>
      <c r="P233" s="9" t="n">
        <v>45</v>
      </c>
      <c r="R233" s="9" t="n">
        <v>1</v>
      </c>
      <c r="T233" s="10" t="n">
        <v>78.2</v>
      </c>
      <c r="U233" s="9" t="n">
        <v>2</v>
      </c>
      <c r="V233" s="3" t="s">
        <v>62</v>
      </c>
      <c r="W233" s="9" t="n">
        <v>1</v>
      </c>
      <c r="Z233" s="3" t="s">
        <v>56</v>
      </c>
      <c r="AA233" s="3" t="s">
        <v>624</v>
      </c>
      <c r="AB233" s="11" t="n">
        <v>46127</v>
      </c>
    </row>
    <row r="234" customFormat="false" ht="15" hidden="false" customHeight="false" outlineLevel="0" collapsed="false">
      <c r="A234" s="3" t="s">
        <v>834</v>
      </c>
      <c r="B234" s="3" t="s">
        <v>48</v>
      </c>
      <c r="C234" s="3" t="s">
        <v>346</v>
      </c>
      <c r="E234" s="3" t="s">
        <v>835</v>
      </c>
      <c r="F234" s="3" t="s">
        <v>622</v>
      </c>
      <c r="G234" s="3" t="s">
        <v>52</v>
      </c>
      <c r="H234" s="3" t="s">
        <v>623</v>
      </c>
      <c r="I234" s="3" t="s">
        <v>836</v>
      </c>
      <c r="M234" s="8" t="n">
        <v>612692</v>
      </c>
      <c r="N234" s="8" t="n">
        <v>268606</v>
      </c>
      <c r="O234" s="9" t="n">
        <v>18.2</v>
      </c>
      <c r="P234" s="9" t="n">
        <v>65</v>
      </c>
      <c r="R234" s="9" t="n">
        <v>1</v>
      </c>
      <c r="T234" s="10" t="n">
        <v>85.6</v>
      </c>
      <c r="U234" s="9" t="n">
        <v>3</v>
      </c>
      <c r="V234" s="3" t="s">
        <v>83</v>
      </c>
      <c r="W234" s="9" t="n">
        <v>1</v>
      </c>
      <c r="Z234" s="3" t="s">
        <v>56</v>
      </c>
      <c r="AA234" s="3" t="s">
        <v>624</v>
      </c>
      <c r="AB234" s="11" t="n">
        <v>46127</v>
      </c>
    </row>
    <row r="235" customFormat="false" ht="15" hidden="false" customHeight="false" outlineLevel="0" collapsed="false">
      <c r="A235" s="3" t="s">
        <v>837</v>
      </c>
      <c r="B235" s="3" t="s">
        <v>48</v>
      </c>
      <c r="C235" s="3" t="s">
        <v>350</v>
      </c>
      <c r="E235" s="3" t="s">
        <v>838</v>
      </c>
      <c r="F235" s="3" t="s">
        <v>622</v>
      </c>
      <c r="G235" s="3" t="s">
        <v>52</v>
      </c>
      <c r="H235" s="3" t="s">
        <v>623</v>
      </c>
      <c r="I235" s="3" t="s">
        <v>839</v>
      </c>
      <c r="M235" s="8" t="n">
        <v>273263</v>
      </c>
      <c r="N235" s="8" t="n">
        <v>402234</v>
      </c>
      <c r="O235" s="9" t="n">
        <v>21</v>
      </c>
      <c r="P235" s="9" t="n">
        <v>77</v>
      </c>
      <c r="R235" s="9" t="n">
        <v>1</v>
      </c>
      <c r="T235" s="10" t="n">
        <v>62.7</v>
      </c>
      <c r="U235" s="9" t="n">
        <v>10</v>
      </c>
      <c r="V235" s="3" t="s">
        <v>62</v>
      </c>
      <c r="W235" s="9" t="n">
        <v>1</v>
      </c>
      <c r="Z235" s="3" t="s">
        <v>56</v>
      </c>
      <c r="AA235" s="3" t="s">
        <v>624</v>
      </c>
      <c r="AB235" s="11" t="n">
        <v>46127</v>
      </c>
    </row>
    <row r="236" customFormat="false" ht="15" hidden="false" customHeight="false" outlineLevel="0" collapsed="false">
      <c r="A236" s="3" t="s">
        <v>840</v>
      </c>
      <c r="B236" s="3" t="s">
        <v>48</v>
      </c>
      <c r="C236" s="3" t="s">
        <v>354</v>
      </c>
      <c r="E236" s="3" t="s">
        <v>841</v>
      </c>
      <c r="F236" s="3" t="s">
        <v>622</v>
      </c>
      <c r="G236" s="3" t="s">
        <v>52</v>
      </c>
      <c r="H236" s="3" t="s">
        <v>623</v>
      </c>
      <c r="I236" s="3" t="s">
        <v>842</v>
      </c>
      <c r="M236" s="8" t="n">
        <v>499190</v>
      </c>
      <c r="N236" s="8" t="n">
        <v>312039</v>
      </c>
      <c r="O236" s="9" t="n">
        <v>29.2</v>
      </c>
      <c r="P236" s="9" t="n">
        <v>63</v>
      </c>
      <c r="R236" s="9" t="n">
        <v>1</v>
      </c>
      <c r="T236" s="10" t="n">
        <v>51.4</v>
      </c>
      <c r="U236" s="9" t="n">
        <v>8</v>
      </c>
      <c r="V236" s="3" t="s">
        <v>55</v>
      </c>
      <c r="W236" s="9" t="n">
        <v>1</v>
      </c>
      <c r="Z236" s="3" t="s">
        <v>56</v>
      </c>
      <c r="AA236" s="3" t="s">
        <v>624</v>
      </c>
      <c r="AB236" s="11" t="n">
        <v>46127</v>
      </c>
    </row>
    <row r="237" customFormat="false" ht="15" hidden="false" customHeight="false" outlineLevel="0" collapsed="false">
      <c r="A237" s="3" t="s">
        <v>843</v>
      </c>
      <c r="B237" s="3" t="s">
        <v>48</v>
      </c>
      <c r="C237" s="3" t="s">
        <v>358</v>
      </c>
      <c r="E237" s="3" t="s">
        <v>844</v>
      </c>
      <c r="F237" s="3" t="s">
        <v>622</v>
      </c>
      <c r="G237" s="3" t="s">
        <v>52</v>
      </c>
      <c r="H237" s="3" t="s">
        <v>623</v>
      </c>
      <c r="I237" s="3" t="s">
        <v>845</v>
      </c>
      <c r="M237" s="8" t="n">
        <v>422235</v>
      </c>
      <c r="N237" s="8" t="n">
        <v>450342</v>
      </c>
      <c r="O237" s="9" t="n">
        <v>11.3</v>
      </c>
      <c r="P237" s="9" t="n">
        <v>50</v>
      </c>
      <c r="R237" s="9" t="n">
        <v>1</v>
      </c>
      <c r="T237" s="10" t="n">
        <v>84.3</v>
      </c>
      <c r="U237" s="9" t="n">
        <v>5</v>
      </c>
      <c r="V237" s="3" t="s">
        <v>83</v>
      </c>
      <c r="W237" s="9" t="n">
        <v>1</v>
      </c>
      <c r="Z237" s="3" t="s">
        <v>56</v>
      </c>
      <c r="AA237" s="3" t="s">
        <v>624</v>
      </c>
      <c r="AB237" s="11" t="n">
        <v>46127</v>
      </c>
    </row>
    <row r="238" customFormat="false" ht="15" hidden="false" customHeight="false" outlineLevel="0" collapsed="false">
      <c r="A238" s="3" t="s">
        <v>846</v>
      </c>
      <c r="B238" s="3" t="s">
        <v>48</v>
      </c>
      <c r="C238" s="3" t="s">
        <v>362</v>
      </c>
      <c r="E238" s="3" t="s">
        <v>847</v>
      </c>
      <c r="F238" s="3" t="s">
        <v>622</v>
      </c>
      <c r="G238" s="3" t="s">
        <v>52</v>
      </c>
      <c r="H238" s="3" t="s">
        <v>623</v>
      </c>
      <c r="I238" s="3" t="s">
        <v>848</v>
      </c>
      <c r="M238" s="8" t="n">
        <v>583543</v>
      </c>
      <c r="N238" s="8" t="n">
        <v>286276</v>
      </c>
      <c r="O238" s="9" t="n">
        <v>24.6</v>
      </c>
      <c r="P238" s="9" t="n">
        <v>65</v>
      </c>
      <c r="R238" s="9" t="n">
        <v>1</v>
      </c>
      <c r="T238" s="10" t="n">
        <v>42.4</v>
      </c>
      <c r="U238" s="9" t="n">
        <v>1</v>
      </c>
      <c r="V238" s="3" t="s">
        <v>83</v>
      </c>
      <c r="W238" s="9" t="n">
        <v>1</v>
      </c>
      <c r="Z238" s="3" t="s">
        <v>56</v>
      </c>
      <c r="AA238" s="3" t="s">
        <v>624</v>
      </c>
      <c r="AB238" s="11" t="n">
        <v>46127</v>
      </c>
    </row>
    <row r="239" customFormat="false" ht="15" hidden="false" customHeight="false" outlineLevel="0" collapsed="false">
      <c r="A239" s="3" t="s">
        <v>849</v>
      </c>
      <c r="B239" s="3" t="s">
        <v>48</v>
      </c>
      <c r="C239" s="3" t="s">
        <v>366</v>
      </c>
      <c r="E239" s="3" t="s">
        <v>850</v>
      </c>
      <c r="F239" s="3" t="s">
        <v>622</v>
      </c>
      <c r="G239" s="3" t="s">
        <v>52</v>
      </c>
      <c r="H239" s="3" t="s">
        <v>623</v>
      </c>
      <c r="I239" s="3" t="s">
        <v>851</v>
      </c>
      <c r="M239" s="8" t="n">
        <v>406612</v>
      </c>
      <c r="N239" s="8" t="n">
        <v>589196</v>
      </c>
      <c r="O239" s="9" t="n">
        <v>18.6</v>
      </c>
      <c r="P239" s="9" t="n">
        <v>77</v>
      </c>
      <c r="R239" s="9" t="n">
        <v>1</v>
      </c>
      <c r="T239" s="10" t="n">
        <v>29.7</v>
      </c>
      <c r="U239" s="9" t="n">
        <v>1</v>
      </c>
      <c r="V239" s="3" t="s">
        <v>55</v>
      </c>
      <c r="W239" s="9" t="n">
        <v>1</v>
      </c>
      <c r="Z239" s="3" t="s">
        <v>56</v>
      </c>
      <c r="AA239" s="3" t="s">
        <v>624</v>
      </c>
      <c r="AB239" s="11" t="n">
        <v>46127</v>
      </c>
    </row>
    <row r="240" customFormat="false" ht="15" hidden="false" customHeight="false" outlineLevel="0" collapsed="false">
      <c r="A240" s="3" t="s">
        <v>852</v>
      </c>
      <c r="B240" s="3" t="s">
        <v>48</v>
      </c>
      <c r="C240" s="3" t="s">
        <v>370</v>
      </c>
      <c r="E240" s="3" t="s">
        <v>853</v>
      </c>
      <c r="F240" s="3" t="s">
        <v>622</v>
      </c>
      <c r="G240" s="3" t="s">
        <v>52</v>
      </c>
      <c r="H240" s="3" t="s">
        <v>623</v>
      </c>
      <c r="I240" s="3" t="s">
        <v>854</v>
      </c>
      <c r="M240" s="8" t="n">
        <v>605963</v>
      </c>
      <c r="N240" s="8" t="n">
        <v>382218</v>
      </c>
      <c r="O240" s="9" t="n">
        <v>6.2</v>
      </c>
      <c r="P240" s="9" t="n">
        <v>66</v>
      </c>
      <c r="R240" s="9" t="n">
        <v>1</v>
      </c>
      <c r="T240" s="10" t="n">
        <v>31.4</v>
      </c>
      <c r="U240" s="9" t="n">
        <v>8</v>
      </c>
      <c r="V240" s="3" t="s">
        <v>92</v>
      </c>
      <c r="W240" s="9" t="n">
        <v>1</v>
      </c>
      <c r="Z240" s="3" t="s">
        <v>56</v>
      </c>
      <c r="AA240" s="3" t="s">
        <v>624</v>
      </c>
      <c r="AB240" s="11" t="n">
        <v>46127</v>
      </c>
    </row>
    <row r="241" customFormat="false" ht="15" hidden="false" customHeight="false" outlineLevel="0" collapsed="false">
      <c r="A241" s="3" t="s">
        <v>855</v>
      </c>
      <c r="B241" s="3" t="s">
        <v>48</v>
      </c>
      <c r="C241" s="3" t="s">
        <v>374</v>
      </c>
      <c r="E241" s="3" t="s">
        <v>856</v>
      </c>
      <c r="F241" s="3" t="s">
        <v>622</v>
      </c>
      <c r="G241" s="3" t="s">
        <v>52</v>
      </c>
      <c r="H241" s="3" t="s">
        <v>623</v>
      </c>
      <c r="I241" s="3" t="s">
        <v>857</v>
      </c>
      <c r="M241" s="8" t="n">
        <v>397595</v>
      </c>
      <c r="N241" s="8" t="n">
        <v>353739</v>
      </c>
      <c r="O241" s="9" t="n">
        <v>13.4</v>
      </c>
      <c r="P241" s="9" t="n">
        <v>68</v>
      </c>
      <c r="R241" s="9" t="n">
        <v>1</v>
      </c>
      <c r="T241" s="10" t="n">
        <v>48.7</v>
      </c>
      <c r="U241" s="9" t="n">
        <v>5</v>
      </c>
      <c r="V241" s="3" t="s">
        <v>55</v>
      </c>
      <c r="W241" s="9" t="n">
        <v>1</v>
      </c>
      <c r="Z241" s="3" t="s">
        <v>56</v>
      </c>
      <c r="AA241" s="3" t="s">
        <v>624</v>
      </c>
      <c r="AB241" s="11" t="n">
        <v>46127</v>
      </c>
    </row>
    <row r="242" customFormat="false" ht="15" hidden="false" customHeight="false" outlineLevel="0" collapsed="false">
      <c r="A242" s="3" t="s">
        <v>858</v>
      </c>
      <c r="B242" s="3" t="s">
        <v>378</v>
      </c>
      <c r="C242" s="3" t="s">
        <v>49</v>
      </c>
      <c r="D242" s="3" t="s">
        <v>391</v>
      </c>
      <c r="E242" s="3" t="s">
        <v>859</v>
      </c>
      <c r="F242" s="3" t="s">
        <v>622</v>
      </c>
      <c r="G242" s="3" t="s">
        <v>52</v>
      </c>
      <c r="H242" s="3" t="s">
        <v>623</v>
      </c>
      <c r="I242" s="3" t="s">
        <v>860</v>
      </c>
      <c r="M242" s="8" t="n">
        <v>1764624</v>
      </c>
      <c r="P242" s="9" t="n">
        <v>73</v>
      </c>
      <c r="Q242" s="9" t="n">
        <v>7.4</v>
      </c>
      <c r="R242" s="9" t="n">
        <v>1</v>
      </c>
      <c r="S242" s="8" t="n">
        <v>511114</v>
      </c>
      <c r="T242" s="10" t="n">
        <v>50</v>
      </c>
      <c r="U242" s="9" t="n">
        <v>8</v>
      </c>
      <c r="V242" s="3" t="s">
        <v>92</v>
      </c>
      <c r="W242" s="9" t="n">
        <v>1</v>
      </c>
      <c r="Z242" s="3" t="s">
        <v>56</v>
      </c>
      <c r="AA242" s="3" t="s">
        <v>861</v>
      </c>
      <c r="AB242" s="11" t="n">
        <v>46127</v>
      </c>
    </row>
    <row r="243" customFormat="false" ht="15" hidden="false" customHeight="false" outlineLevel="0" collapsed="false">
      <c r="A243" s="3" t="s">
        <v>862</v>
      </c>
      <c r="B243" s="3" t="s">
        <v>378</v>
      </c>
      <c r="C243" s="3" t="s">
        <v>59</v>
      </c>
      <c r="D243" s="3" t="s">
        <v>384</v>
      </c>
      <c r="E243" s="3" t="s">
        <v>863</v>
      </c>
      <c r="F243" s="3" t="s">
        <v>622</v>
      </c>
      <c r="G243" s="3" t="s">
        <v>52</v>
      </c>
      <c r="H243" s="3" t="s">
        <v>623</v>
      </c>
      <c r="I243" s="3" t="s">
        <v>864</v>
      </c>
      <c r="M243" s="8" t="n">
        <v>331978</v>
      </c>
      <c r="P243" s="9" t="n">
        <v>38</v>
      </c>
      <c r="Q243" s="9" t="n">
        <v>16.1</v>
      </c>
      <c r="R243" s="9" t="n">
        <v>3</v>
      </c>
      <c r="S243" s="8" t="n">
        <v>1466146</v>
      </c>
      <c r="T243" s="10" t="n">
        <v>35.9</v>
      </c>
      <c r="U243" s="9" t="n">
        <v>10</v>
      </c>
      <c r="V243" s="3" t="s">
        <v>55</v>
      </c>
      <c r="W243" s="9" t="n">
        <v>1</v>
      </c>
      <c r="Z243" s="3" t="s">
        <v>56</v>
      </c>
      <c r="AA243" s="3" t="s">
        <v>861</v>
      </c>
      <c r="AB243" s="11" t="n">
        <v>46127</v>
      </c>
    </row>
    <row r="244" customFormat="false" ht="15" hidden="false" customHeight="false" outlineLevel="0" collapsed="false">
      <c r="A244" s="3" t="s">
        <v>865</v>
      </c>
      <c r="B244" s="3" t="s">
        <v>378</v>
      </c>
      <c r="C244" s="3" t="s">
        <v>64</v>
      </c>
      <c r="D244" s="3" t="s">
        <v>384</v>
      </c>
      <c r="E244" s="3" t="s">
        <v>866</v>
      </c>
      <c r="F244" s="3" t="s">
        <v>622</v>
      </c>
      <c r="G244" s="3" t="s">
        <v>52</v>
      </c>
      <c r="H244" s="3" t="s">
        <v>623</v>
      </c>
      <c r="I244" s="3" t="s">
        <v>867</v>
      </c>
      <c r="M244" s="8" t="n">
        <v>200578</v>
      </c>
      <c r="P244" s="9" t="n">
        <v>70</v>
      </c>
      <c r="Q244" s="9" t="n">
        <v>17.2</v>
      </c>
      <c r="R244" s="9" t="n">
        <v>1</v>
      </c>
      <c r="S244" s="8" t="n">
        <v>390743</v>
      </c>
      <c r="T244" s="10" t="n">
        <v>43.6</v>
      </c>
      <c r="U244" s="9" t="n">
        <v>9</v>
      </c>
      <c r="V244" s="3" t="s">
        <v>55</v>
      </c>
      <c r="W244" s="9" t="n">
        <v>1</v>
      </c>
      <c r="Z244" s="3" t="s">
        <v>56</v>
      </c>
      <c r="AA244" s="3" t="s">
        <v>861</v>
      </c>
      <c r="AB244" s="11" t="n">
        <v>46127</v>
      </c>
    </row>
    <row r="245" customFormat="false" ht="15" hidden="false" customHeight="false" outlineLevel="0" collapsed="false">
      <c r="A245" s="3" t="s">
        <v>868</v>
      </c>
      <c r="B245" s="3" t="s">
        <v>378</v>
      </c>
      <c r="C245" s="3" t="s">
        <v>68</v>
      </c>
      <c r="D245" s="3" t="s">
        <v>391</v>
      </c>
      <c r="E245" s="3" t="s">
        <v>869</v>
      </c>
      <c r="F245" s="3" t="s">
        <v>622</v>
      </c>
      <c r="G245" s="3" t="s">
        <v>52</v>
      </c>
      <c r="H245" s="3" t="s">
        <v>623</v>
      </c>
      <c r="I245" s="3" t="s">
        <v>870</v>
      </c>
      <c r="M245" s="8" t="n">
        <v>484056</v>
      </c>
      <c r="P245" s="9" t="n">
        <v>66</v>
      </c>
      <c r="Q245" s="9" t="n">
        <v>9.8</v>
      </c>
      <c r="R245" s="9" t="n">
        <v>1</v>
      </c>
      <c r="S245" s="8" t="n">
        <v>1449883</v>
      </c>
      <c r="T245" s="10" t="n">
        <v>77.5</v>
      </c>
      <c r="U245" s="9" t="n">
        <v>9</v>
      </c>
      <c r="V245" s="3" t="s">
        <v>83</v>
      </c>
      <c r="W245" s="9" t="n">
        <v>1</v>
      </c>
      <c r="Z245" s="3" t="s">
        <v>56</v>
      </c>
      <c r="AA245" s="3" t="s">
        <v>861</v>
      </c>
      <c r="AB245" s="11" t="n">
        <v>46127</v>
      </c>
    </row>
    <row r="246" customFormat="false" ht="15" hidden="false" customHeight="false" outlineLevel="0" collapsed="false">
      <c r="A246" s="3" t="s">
        <v>871</v>
      </c>
      <c r="B246" s="3" t="s">
        <v>378</v>
      </c>
      <c r="C246" s="3" t="s">
        <v>72</v>
      </c>
      <c r="D246" s="3" t="s">
        <v>384</v>
      </c>
      <c r="E246" s="3" t="s">
        <v>872</v>
      </c>
      <c r="F246" s="3" t="s">
        <v>622</v>
      </c>
      <c r="G246" s="3" t="s">
        <v>52</v>
      </c>
      <c r="H246" s="3" t="s">
        <v>623</v>
      </c>
      <c r="I246" s="3" t="s">
        <v>873</v>
      </c>
      <c r="M246" s="8" t="n">
        <v>246345</v>
      </c>
      <c r="P246" s="9" t="n">
        <v>60</v>
      </c>
      <c r="Q246" s="9" t="n">
        <v>27.8</v>
      </c>
      <c r="R246" s="9" t="n">
        <v>1</v>
      </c>
      <c r="S246" s="8" t="n">
        <v>260393</v>
      </c>
      <c r="T246" s="10" t="n">
        <v>46.6</v>
      </c>
      <c r="U246" s="9" t="n">
        <v>10</v>
      </c>
      <c r="V246" s="3" t="s">
        <v>62</v>
      </c>
      <c r="W246" s="9" t="n">
        <v>1</v>
      </c>
      <c r="Z246" s="3" t="s">
        <v>56</v>
      </c>
      <c r="AA246" s="3" t="s">
        <v>861</v>
      </c>
      <c r="AB246" s="11" t="n">
        <v>46127</v>
      </c>
    </row>
    <row r="247" customFormat="false" ht="15" hidden="false" customHeight="false" outlineLevel="0" collapsed="false">
      <c r="A247" s="3" t="s">
        <v>874</v>
      </c>
      <c r="B247" s="3" t="s">
        <v>378</v>
      </c>
      <c r="C247" s="3" t="s">
        <v>76</v>
      </c>
      <c r="D247" s="3" t="s">
        <v>384</v>
      </c>
      <c r="E247" s="3" t="s">
        <v>875</v>
      </c>
      <c r="F247" s="3" t="s">
        <v>622</v>
      </c>
      <c r="G247" s="3" t="s">
        <v>52</v>
      </c>
      <c r="H247" s="3" t="s">
        <v>623</v>
      </c>
      <c r="I247" s="3" t="s">
        <v>876</v>
      </c>
      <c r="M247" s="8" t="n">
        <v>84574</v>
      </c>
      <c r="P247" s="9" t="n">
        <v>42</v>
      </c>
      <c r="Q247" s="9" t="n">
        <v>3.3</v>
      </c>
      <c r="R247" s="9" t="n">
        <v>1</v>
      </c>
      <c r="S247" s="8" t="n">
        <v>425874</v>
      </c>
      <c r="T247" s="10" t="n">
        <v>79.4</v>
      </c>
      <c r="U247" s="9" t="n">
        <v>4</v>
      </c>
      <c r="V247" s="3" t="s">
        <v>83</v>
      </c>
      <c r="W247" s="9" t="n">
        <v>1</v>
      </c>
      <c r="Z247" s="3" t="s">
        <v>56</v>
      </c>
      <c r="AA247" s="3" t="s">
        <v>861</v>
      </c>
      <c r="AB247" s="11" t="n">
        <v>46127</v>
      </c>
    </row>
    <row r="248" customFormat="false" ht="15" hidden="false" customHeight="false" outlineLevel="0" collapsed="false">
      <c r="A248" s="3" t="s">
        <v>877</v>
      </c>
      <c r="B248" s="3" t="s">
        <v>378</v>
      </c>
      <c r="C248" s="3" t="s">
        <v>80</v>
      </c>
      <c r="D248" s="3" t="s">
        <v>391</v>
      </c>
      <c r="E248" s="3" t="s">
        <v>878</v>
      </c>
      <c r="F248" s="3" t="s">
        <v>622</v>
      </c>
      <c r="G248" s="3" t="s">
        <v>52</v>
      </c>
      <c r="H248" s="3" t="s">
        <v>623</v>
      </c>
      <c r="I248" s="3" t="s">
        <v>879</v>
      </c>
      <c r="M248" s="8" t="n">
        <v>395051</v>
      </c>
      <c r="P248" s="9" t="n">
        <v>37</v>
      </c>
      <c r="Q248" s="9" t="n">
        <v>25.1</v>
      </c>
      <c r="R248" s="9" t="n">
        <v>1</v>
      </c>
      <c r="S248" s="8" t="n">
        <v>542078</v>
      </c>
      <c r="T248" s="10" t="n">
        <v>24.5</v>
      </c>
      <c r="U248" s="9" t="n">
        <v>3</v>
      </c>
      <c r="V248" s="3" t="s">
        <v>55</v>
      </c>
      <c r="W248" s="9" t="n">
        <v>1</v>
      </c>
      <c r="Z248" s="3" t="s">
        <v>56</v>
      </c>
      <c r="AA248" s="3" t="s">
        <v>861</v>
      </c>
      <c r="AB248" s="11" t="n">
        <v>46127</v>
      </c>
    </row>
    <row r="249" customFormat="false" ht="15" hidden="false" customHeight="false" outlineLevel="0" collapsed="false">
      <c r="A249" s="3" t="s">
        <v>880</v>
      </c>
      <c r="B249" s="3" t="s">
        <v>378</v>
      </c>
      <c r="C249" s="3" t="s">
        <v>85</v>
      </c>
      <c r="D249" s="3" t="s">
        <v>391</v>
      </c>
      <c r="E249" s="3" t="s">
        <v>881</v>
      </c>
      <c r="F249" s="3" t="s">
        <v>622</v>
      </c>
      <c r="G249" s="3" t="s">
        <v>52</v>
      </c>
      <c r="H249" s="3" t="s">
        <v>623</v>
      </c>
      <c r="I249" s="3" t="s">
        <v>882</v>
      </c>
      <c r="M249" s="8" t="n">
        <v>1023198</v>
      </c>
      <c r="P249" s="9" t="n">
        <v>70</v>
      </c>
      <c r="Q249" s="9" t="n">
        <v>21.3</v>
      </c>
      <c r="R249" s="9" t="n">
        <v>1</v>
      </c>
      <c r="S249" s="8" t="n">
        <v>1195575</v>
      </c>
      <c r="T249" s="10" t="n">
        <v>65.8</v>
      </c>
      <c r="U249" s="9" t="n">
        <v>3</v>
      </c>
      <c r="V249" s="3" t="s">
        <v>55</v>
      </c>
      <c r="W249" s="9" t="n">
        <v>1</v>
      </c>
      <c r="Z249" s="3" t="s">
        <v>56</v>
      </c>
      <c r="AA249" s="3" t="s">
        <v>861</v>
      </c>
      <c r="AB249" s="11" t="n">
        <v>46127</v>
      </c>
    </row>
    <row r="250" customFormat="false" ht="15" hidden="false" customHeight="false" outlineLevel="0" collapsed="false">
      <c r="A250" s="3" t="s">
        <v>883</v>
      </c>
      <c r="B250" s="3" t="s">
        <v>378</v>
      </c>
      <c r="C250" s="3" t="s">
        <v>89</v>
      </c>
      <c r="D250" s="3" t="s">
        <v>391</v>
      </c>
      <c r="E250" s="3" t="s">
        <v>844</v>
      </c>
      <c r="F250" s="3" t="s">
        <v>622</v>
      </c>
      <c r="G250" s="3" t="s">
        <v>52</v>
      </c>
      <c r="H250" s="3" t="s">
        <v>623</v>
      </c>
      <c r="I250" s="3" t="s">
        <v>884</v>
      </c>
      <c r="M250" s="8" t="n">
        <v>391158</v>
      </c>
      <c r="P250" s="9" t="n">
        <v>49</v>
      </c>
      <c r="Q250" s="9" t="n">
        <v>22.1</v>
      </c>
      <c r="R250" s="9" t="n">
        <v>1</v>
      </c>
      <c r="S250" s="8" t="n">
        <v>155808</v>
      </c>
      <c r="T250" s="10" t="n">
        <v>65.6</v>
      </c>
      <c r="U250" s="9" t="n">
        <v>1</v>
      </c>
      <c r="V250" s="3" t="s">
        <v>83</v>
      </c>
      <c r="W250" s="9" t="n">
        <v>1</v>
      </c>
      <c r="Z250" s="3" t="s">
        <v>56</v>
      </c>
      <c r="AA250" s="3" t="s">
        <v>861</v>
      </c>
      <c r="AB250" s="11" t="n">
        <v>46127</v>
      </c>
    </row>
    <row r="251" customFormat="false" ht="15" hidden="false" customHeight="false" outlineLevel="0" collapsed="false">
      <c r="A251" s="3" t="s">
        <v>885</v>
      </c>
      <c r="B251" s="3" t="s">
        <v>378</v>
      </c>
      <c r="C251" s="3" t="s">
        <v>94</v>
      </c>
      <c r="D251" s="3" t="s">
        <v>391</v>
      </c>
      <c r="E251" s="3" t="s">
        <v>886</v>
      </c>
      <c r="F251" s="3" t="s">
        <v>622</v>
      </c>
      <c r="G251" s="3" t="s">
        <v>52</v>
      </c>
      <c r="H251" s="3" t="s">
        <v>623</v>
      </c>
      <c r="I251" s="3" t="s">
        <v>887</v>
      </c>
      <c r="M251" s="8" t="n">
        <v>654085</v>
      </c>
      <c r="P251" s="9" t="n">
        <v>49</v>
      </c>
      <c r="Q251" s="9" t="n">
        <v>27.4</v>
      </c>
      <c r="R251" s="9" t="n">
        <v>1</v>
      </c>
      <c r="S251" s="8" t="n">
        <v>469183</v>
      </c>
      <c r="T251" s="10" t="n">
        <v>80</v>
      </c>
      <c r="U251" s="9" t="n">
        <v>8</v>
      </c>
      <c r="V251" s="3" t="s">
        <v>83</v>
      </c>
      <c r="W251" s="9" t="n">
        <v>1</v>
      </c>
      <c r="Z251" s="3" t="s">
        <v>56</v>
      </c>
      <c r="AA251" s="3" t="s">
        <v>861</v>
      </c>
      <c r="AB251" s="11" t="n">
        <v>46127</v>
      </c>
    </row>
    <row r="252" customFormat="false" ht="15" hidden="false" customHeight="false" outlineLevel="0" collapsed="false">
      <c r="A252" s="3" t="s">
        <v>888</v>
      </c>
      <c r="B252" s="3" t="s">
        <v>378</v>
      </c>
      <c r="C252" s="3" t="s">
        <v>98</v>
      </c>
      <c r="D252" s="3" t="s">
        <v>384</v>
      </c>
      <c r="E252" s="3" t="s">
        <v>889</v>
      </c>
      <c r="F252" s="3" t="s">
        <v>622</v>
      </c>
      <c r="G252" s="3" t="s">
        <v>52</v>
      </c>
      <c r="H252" s="3" t="s">
        <v>623</v>
      </c>
      <c r="I252" s="3" t="s">
        <v>890</v>
      </c>
      <c r="M252" s="8" t="n">
        <v>231826</v>
      </c>
      <c r="P252" s="9" t="n">
        <v>51</v>
      </c>
      <c r="Q252" s="9" t="n">
        <v>12.7</v>
      </c>
      <c r="R252" s="9" t="n">
        <v>1</v>
      </c>
      <c r="S252" s="8" t="n">
        <v>258761</v>
      </c>
      <c r="T252" s="10" t="n">
        <v>29.4</v>
      </c>
      <c r="U252" s="9" t="n">
        <v>4</v>
      </c>
      <c r="V252" s="3" t="s">
        <v>62</v>
      </c>
      <c r="W252" s="9" t="n">
        <v>1</v>
      </c>
      <c r="Z252" s="3" t="s">
        <v>56</v>
      </c>
      <c r="AA252" s="3" t="s">
        <v>861</v>
      </c>
      <c r="AB252" s="11" t="n">
        <v>46127</v>
      </c>
    </row>
    <row r="253" customFormat="false" ht="15" hidden="false" customHeight="false" outlineLevel="0" collapsed="false">
      <c r="A253" s="3" t="s">
        <v>891</v>
      </c>
      <c r="B253" s="3" t="s">
        <v>378</v>
      </c>
      <c r="C253" s="3" t="s">
        <v>102</v>
      </c>
      <c r="D253" s="3" t="s">
        <v>384</v>
      </c>
      <c r="E253" s="3" t="s">
        <v>892</v>
      </c>
      <c r="F253" s="3" t="s">
        <v>622</v>
      </c>
      <c r="G253" s="3" t="s">
        <v>52</v>
      </c>
      <c r="H253" s="3" t="s">
        <v>623</v>
      </c>
      <c r="I253" s="3" t="s">
        <v>893</v>
      </c>
      <c r="M253" s="8" t="n">
        <v>500718</v>
      </c>
      <c r="P253" s="9" t="n">
        <v>67</v>
      </c>
      <c r="Q253" s="9" t="n">
        <v>24.3</v>
      </c>
      <c r="R253" s="9" t="n">
        <v>1</v>
      </c>
      <c r="S253" s="8" t="n">
        <v>959862</v>
      </c>
      <c r="T253" s="10" t="n">
        <v>74.7</v>
      </c>
      <c r="U253" s="9" t="n">
        <v>4</v>
      </c>
      <c r="V253" s="3" t="s">
        <v>83</v>
      </c>
      <c r="W253" s="9" t="n">
        <v>1</v>
      </c>
      <c r="Z253" s="3" t="s">
        <v>56</v>
      </c>
      <c r="AA253" s="3" t="s">
        <v>861</v>
      </c>
      <c r="AB253" s="11" t="n">
        <v>46127</v>
      </c>
    </row>
    <row r="254" customFormat="false" ht="15" hidden="false" customHeight="false" outlineLevel="0" collapsed="false">
      <c r="A254" s="3" t="s">
        <v>894</v>
      </c>
      <c r="B254" s="3" t="s">
        <v>378</v>
      </c>
      <c r="C254" s="3" t="s">
        <v>106</v>
      </c>
      <c r="D254" s="3" t="s">
        <v>379</v>
      </c>
      <c r="E254" s="3" t="s">
        <v>895</v>
      </c>
      <c r="F254" s="3" t="s">
        <v>622</v>
      </c>
      <c r="G254" s="3" t="s">
        <v>52</v>
      </c>
      <c r="H254" s="3" t="s">
        <v>623</v>
      </c>
      <c r="I254" s="3" t="s">
        <v>896</v>
      </c>
      <c r="M254" s="8" t="n">
        <v>283186</v>
      </c>
      <c r="P254" s="9" t="n">
        <v>52</v>
      </c>
      <c r="Q254" s="9" t="n">
        <v>11.8</v>
      </c>
      <c r="R254" s="9" t="n">
        <v>1</v>
      </c>
      <c r="S254" s="8" t="n">
        <v>339711</v>
      </c>
      <c r="T254" s="10" t="n">
        <v>36.2</v>
      </c>
      <c r="U254" s="9" t="n">
        <v>7</v>
      </c>
      <c r="V254" s="3" t="s">
        <v>92</v>
      </c>
      <c r="W254" s="9" t="n">
        <v>1</v>
      </c>
      <c r="Z254" s="3" t="s">
        <v>56</v>
      </c>
      <c r="AA254" s="3" t="s">
        <v>861</v>
      </c>
      <c r="AB254" s="11" t="n">
        <v>46127</v>
      </c>
    </row>
    <row r="255" customFormat="false" ht="15" hidden="false" customHeight="false" outlineLevel="0" collapsed="false">
      <c r="A255" s="3" t="s">
        <v>897</v>
      </c>
      <c r="B255" s="3" t="s">
        <v>378</v>
      </c>
      <c r="C255" s="3" t="s">
        <v>110</v>
      </c>
      <c r="D255" s="3" t="s">
        <v>391</v>
      </c>
      <c r="E255" s="3" t="s">
        <v>898</v>
      </c>
      <c r="F255" s="3" t="s">
        <v>622</v>
      </c>
      <c r="G255" s="3" t="s">
        <v>52</v>
      </c>
      <c r="H255" s="3" t="s">
        <v>623</v>
      </c>
      <c r="I255" s="3" t="s">
        <v>899</v>
      </c>
      <c r="M255" s="8" t="n">
        <v>149463</v>
      </c>
      <c r="P255" s="9" t="n">
        <v>70</v>
      </c>
      <c r="Q255" s="9" t="n">
        <v>28.9</v>
      </c>
      <c r="R255" s="9" t="n">
        <v>1</v>
      </c>
      <c r="S255" s="8" t="n">
        <v>112320</v>
      </c>
      <c r="T255" s="10" t="n">
        <v>71.6</v>
      </c>
      <c r="U255" s="9" t="n">
        <v>5</v>
      </c>
      <c r="V255" s="3" t="s">
        <v>83</v>
      </c>
      <c r="W255" s="9" t="n">
        <v>1</v>
      </c>
      <c r="Z255" s="3" t="s">
        <v>56</v>
      </c>
      <c r="AA255" s="3" t="s">
        <v>861</v>
      </c>
      <c r="AB255" s="11" t="n">
        <v>46127</v>
      </c>
    </row>
    <row r="256" customFormat="false" ht="15" hidden="false" customHeight="false" outlineLevel="0" collapsed="false">
      <c r="A256" s="3" t="s">
        <v>900</v>
      </c>
      <c r="B256" s="3" t="s">
        <v>378</v>
      </c>
      <c r="C256" s="3" t="s">
        <v>114</v>
      </c>
      <c r="D256" s="3" t="s">
        <v>384</v>
      </c>
      <c r="E256" s="3" t="s">
        <v>901</v>
      </c>
      <c r="F256" s="3" t="s">
        <v>622</v>
      </c>
      <c r="G256" s="3" t="s">
        <v>52</v>
      </c>
      <c r="H256" s="3" t="s">
        <v>623</v>
      </c>
      <c r="I256" s="3" t="s">
        <v>902</v>
      </c>
      <c r="M256" s="8" t="n">
        <v>324095</v>
      </c>
      <c r="P256" s="9" t="n">
        <v>73</v>
      </c>
      <c r="Q256" s="9" t="n">
        <v>21.9</v>
      </c>
      <c r="R256" s="9" t="n">
        <v>1</v>
      </c>
      <c r="S256" s="8" t="n">
        <v>499943</v>
      </c>
      <c r="T256" s="10" t="n">
        <v>25.3</v>
      </c>
      <c r="U256" s="9" t="n">
        <v>1</v>
      </c>
      <c r="V256" s="3" t="s">
        <v>83</v>
      </c>
      <c r="W256" s="9" t="n">
        <v>1</v>
      </c>
      <c r="Z256" s="3" t="s">
        <v>56</v>
      </c>
      <c r="AA256" s="3" t="s">
        <v>861</v>
      </c>
      <c r="AB256" s="11" t="n">
        <v>46127</v>
      </c>
    </row>
    <row r="257" customFormat="false" ht="15" hidden="false" customHeight="false" outlineLevel="0" collapsed="false">
      <c r="A257" s="3" t="s">
        <v>903</v>
      </c>
      <c r="B257" s="3" t="s">
        <v>378</v>
      </c>
      <c r="C257" s="3" t="s">
        <v>118</v>
      </c>
      <c r="D257" s="3" t="s">
        <v>379</v>
      </c>
      <c r="E257" s="3" t="s">
        <v>904</v>
      </c>
      <c r="F257" s="3" t="s">
        <v>622</v>
      </c>
      <c r="G257" s="3" t="s">
        <v>52</v>
      </c>
      <c r="H257" s="3" t="s">
        <v>623</v>
      </c>
      <c r="I257" s="3" t="s">
        <v>905</v>
      </c>
      <c r="M257" s="8" t="n">
        <v>506294</v>
      </c>
      <c r="P257" s="9" t="n">
        <v>73</v>
      </c>
      <c r="Q257" s="9" t="n">
        <v>18.1</v>
      </c>
      <c r="R257" s="9" t="n">
        <v>1</v>
      </c>
      <c r="S257" s="8" t="n">
        <v>187627</v>
      </c>
      <c r="T257" s="10" t="n">
        <v>78.4</v>
      </c>
      <c r="U257" s="9" t="n">
        <v>10</v>
      </c>
      <c r="V257" s="3" t="s">
        <v>55</v>
      </c>
      <c r="W257" s="9" t="n">
        <v>1</v>
      </c>
      <c r="Z257" s="3" t="s">
        <v>56</v>
      </c>
      <c r="AA257" s="3" t="s">
        <v>861</v>
      </c>
      <c r="AB257" s="11" t="n">
        <v>46127</v>
      </c>
    </row>
    <row r="258" customFormat="false" ht="15" hidden="false" customHeight="false" outlineLevel="0" collapsed="false">
      <c r="A258" s="3" t="s">
        <v>906</v>
      </c>
      <c r="B258" s="3" t="s">
        <v>378</v>
      </c>
      <c r="C258" s="3" t="s">
        <v>122</v>
      </c>
      <c r="D258" s="3" t="s">
        <v>379</v>
      </c>
      <c r="E258" s="3" t="s">
        <v>907</v>
      </c>
      <c r="F258" s="3" t="s">
        <v>622</v>
      </c>
      <c r="G258" s="3" t="s">
        <v>52</v>
      </c>
      <c r="H258" s="3" t="s">
        <v>623</v>
      </c>
      <c r="I258" s="3" t="s">
        <v>908</v>
      </c>
      <c r="M258" s="8" t="n">
        <v>384782</v>
      </c>
      <c r="P258" s="9" t="n">
        <v>36</v>
      </c>
      <c r="Q258" s="9" t="n">
        <v>28.3</v>
      </c>
      <c r="R258" s="9" t="n">
        <v>1</v>
      </c>
      <c r="S258" s="8" t="n">
        <v>325272</v>
      </c>
      <c r="T258" s="10" t="n">
        <v>89.2</v>
      </c>
      <c r="U258" s="9" t="n">
        <v>6</v>
      </c>
      <c r="V258" s="3" t="s">
        <v>55</v>
      </c>
      <c r="W258" s="9" t="n">
        <v>1</v>
      </c>
      <c r="Z258" s="3" t="s">
        <v>56</v>
      </c>
      <c r="AA258" s="3" t="s">
        <v>861</v>
      </c>
      <c r="AB258" s="11" t="n">
        <v>46127</v>
      </c>
    </row>
    <row r="259" customFormat="false" ht="15" hidden="false" customHeight="false" outlineLevel="0" collapsed="false">
      <c r="A259" s="3" t="s">
        <v>909</v>
      </c>
      <c r="B259" s="3" t="s">
        <v>378</v>
      </c>
      <c r="C259" s="3" t="s">
        <v>126</v>
      </c>
      <c r="D259" s="3" t="s">
        <v>391</v>
      </c>
      <c r="E259" s="3" t="s">
        <v>910</v>
      </c>
      <c r="F259" s="3" t="s">
        <v>622</v>
      </c>
      <c r="G259" s="3" t="s">
        <v>52</v>
      </c>
      <c r="H259" s="3" t="s">
        <v>623</v>
      </c>
      <c r="I259" s="3" t="s">
        <v>911</v>
      </c>
      <c r="M259" s="8" t="n">
        <v>1147756</v>
      </c>
      <c r="P259" s="9" t="n">
        <v>62</v>
      </c>
      <c r="Q259" s="9" t="n">
        <v>10.6</v>
      </c>
      <c r="R259" s="9" t="n">
        <v>1</v>
      </c>
      <c r="S259" s="8" t="n">
        <v>509401</v>
      </c>
      <c r="T259" s="10" t="n">
        <v>48.5</v>
      </c>
      <c r="U259" s="9" t="n">
        <v>7</v>
      </c>
      <c r="V259" s="3" t="s">
        <v>62</v>
      </c>
      <c r="W259" s="9" t="n">
        <v>1</v>
      </c>
      <c r="Z259" s="3" t="s">
        <v>56</v>
      </c>
      <c r="AA259" s="3" t="s">
        <v>861</v>
      </c>
      <c r="AB259" s="11" t="n">
        <v>46127</v>
      </c>
    </row>
    <row r="260" customFormat="false" ht="15" hidden="false" customHeight="false" outlineLevel="0" collapsed="false">
      <c r="A260" s="3" t="s">
        <v>912</v>
      </c>
      <c r="B260" s="3" t="s">
        <v>378</v>
      </c>
      <c r="C260" s="3" t="s">
        <v>130</v>
      </c>
      <c r="D260" s="3" t="s">
        <v>384</v>
      </c>
      <c r="E260" s="3" t="s">
        <v>913</v>
      </c>
      <c r="F260" s="3" t="s">
        <v>622</v>
      </c>
      <c r="G260" s="3" t="s">
        <v>52</v>
      </c>
      <c r="H260" s="3" t="s">
        <v>623</v>
      </c>
      <c r="I260" s="3" t="s">
        <v>914</v>
      </c>
      <c r="M260" s="8" t="n">
        <v>61318</v>
      </c>
      <c r="P260" s="9" t="n">
        <v>57</v>
      </c>
      <c r="Q260" s="9" t="n">
        <v>6.8</v>
      </c>
      <c r="R260" s="9" t="n">
        <v>1</v>
      </c>
      <c r="S260" s="8" t="n">
        <v>804047</v>
      </c>
      <c r="T260" s="10" t="n">
        <v>22.8</v>
      </c>
      <c r="U260" s="9" t="n">
        <v>8</v>
      </c>
      <c r="V260" s="3" t="s">
        <v>83</v>
      </c>
      <c r="W260" s="9" t="n">
        <v>1</v>
      </c>
      <c r="Z260" s="3" t="s">
        <v>56</v>
      </c>
      <c r="AA260" s="3" t="s">
        <v>861</v>
      </c>
      <c r="AB260" s="11" t="n">
        <v>46127</v>
      </c>
    </row>
    <row r="261" customFormat="false" ht="15" hidden="false" customHeight="false" outlineLevel="0" collapsed="false">
      <c r="A261" s="3" t="s">
        <v>915</v>
      </c>
      <c r="B261" s="3" t="s">
        <v>378</v>
      </c>
      <c r="C261" s="3" t="s">
        <v>134</v>
      </c>
      <c r="D261" s="3" t="s">
        <v>391</v>
      </c>
      <c r="E261" s="3" t="s">
        <v>916</v>
      </c>
      <c r="F261" s="3" t="s">
        <v>622</v>
      </c>
      <c r="G261" s="3" t="s">
        <v>52</v>
      </c>
      <c r="H261" s="3" t="s">
        <v>623</v>
      </c>
      <c r="I261" s="3" t="s">
        <v>917</v>
      </c>
      <c r="M261" s="8" t="n">
        <v>337292</v>
      </c>
      <c r="P261" s="9" t="n">
        <v>71</v>
      </c>
      <c r="Q261" s="9" t="n">
        <v>6</v>
      </c>
      <c r="R261" s="9" t="n">
        <v>2</v>
      </c>
      <c r="S261" s="8" t="n">
        <v>187625</v>
      </c>
      <c r="T261" s="10" t="n">
        <v>65.9</v>
      </c>
      <c r="U261" s="9" t="n">
        <v>7</v>
      </c>
      <c r="V261" s="3" t="s">
        <v>62</v>
      </c>
      <c r="W261" s="9" t="n">
        <v>1</v>
      </c>
      <c r="Z261" s="3" t="s">
        <v>56</v>
      </c>
      <c r="AA261" s="3" t="s">
        <v>861</v>
      </c>
      <c r="AB261" s="11" t="n">
        <v>46127</v>
      </c>
    </row>
    <row r="262" customFormat="false" ht="15" hidden="false" customHeight="false" outlineLevel="0" collapsed="false">
      <c r="A262" s="3" t="s">
        <v>918</v>
      </c>
      <c r="B262" s="3" t="s">
        <v>378</v>
      </c>
      <c r="C262" s="3" t="s">
        <v>138</v>
      </c>
      <c r="D262" s="3" t="s">
        <v>391</v>
      </c>
      <c r="E262" s="3" t="s">
        <v>919</v>
      </c>
      <c r="F262" s="3" t="s">
        <v>622</v>
      </c>
      <c r="G262" s="3" t="s">
        <v>52</v>
      </c>
      <c r="H262" s="3" t="s">
        <v>623</v>
      </c>
      <c r="I262" s="3" t="s">
        <v>920</v>
      </c>
      <c r="M262" s="8" t="n">
        <v>393510</v>
      </c>
      <c r="P262" s="9" t="n">
        <v>35</v>
      </c>
      <c r="Q262" s="9" t="n">
        <v>2.9</v>
      </c>
      <c r="R262" s="9" t="n">
        <v>1</v>
      </c>
      <c r="S262" s="8" t="n">
        <v>653596</v>
      </c>
      <c r="T262" s="10" t="n">
        <v>35.5</v>
      </c>
      <c r="U262" s="9" t="n">
        <v>1</v>
      </c>
      <c r="V262" s="3" t="s">
        <v>62</v>
      </c>
      <c r="W262" s="9" t="n">
        <v>1</v>
      </c>
      <c r="Z262" s="3" t="s">
        <v>56</v>
      </c>
      <c r="AA262" s="3" t="s">
        <v>861</v>
      </c>
      <c r="AB262" s="11" t="n">
        <v>46127</v>
      </c>
    </row>
    <row r="263" customFormat="false" ht="15" hidden="false" customHeight="false" outlineLevel="0" collapsed="false">
      <c r="A263" s="3" t="s">
        <v>921</v>
      </c>
      <c r="B263" s="3" t="s">
        <v>378</v>
      </c>
      <c r="C263" s="3" t="s">
        <v>142</v>
      </c>
      <c r="D263" s="3" t="s">
        <v>384</v>
      </c>
      <c r="E263" s="3" t="s">
        <v>922</v>
      </c>
      <c r="F263" s="3" t="s">
        <v>622</v>
      </c>
      <c r="G263" s="3" t="s">
        <v>52</v>
      </c>
      <c r="H263" s="3" t="s">
        <v>623</v>
      </c>
      <c r="I263" s="3" t="s">
        <v>923</v>
      </c>
      <c r="M263" s="8" t="n">
        <v>209228</v>
      </c>
      <c r="P263" s="9" t="n">
        <v>46</v>
      </c>
      <c r="Q263" s="9" t="n">
        <v>22.5</v>
      </c>
      <c r="R263" s="9" t="n">
        <v>1</v>
      </c>
      <c r="S263" s="8" t="n">
        <v>2141505</v>
      </c>
      <c r="T263" s="10" t="n">
        <v>70.8</v>
      </c>
      <c r="U263" s="9" t="n">
        <v>2</v>
      </c>
      <c r="V263" s="3" t="s">
        <v>92</v>
      </c>
      <c r="W263" s="9" t="n">
        <v>1</v>
      </c>
      <c r="Z263" s="3" t="s">
        <v>56</v>
      </c>
      <c r="AA263" s="3" t="s">
        <v>861</v>
      </c>
      <c r="AB263" s="11" t="n">
        <v>46127</v>
      </c>
    </row>
    <row r="264" customFormat="false" ht="15" hidden="false" customHeight="false" outlineLevel="0" collapsed="false">
      <c r="A264" s="3" t="s">
        <v>924</v>
      </c>
      <c r="B264" s="3" t="s">
        <v>378</v>
      </c>
      <c r="C264" s="3" t="s">
        <v>146</v>
      </c>
      <c r="D264" s="3" t="s">
        <v>379</v>
      </c>
      <c r="E264" s="3" t="s">
        <v>243</v>
      </c>
      <c r="F264" s="3" t="s">
        <v>622</v>
      </c>
      <c r="G264" s="3" t="s">
        <v>52</v>
      </c>
      <c r="H264" s="3" t="s">
        <v>623</v>
      </c>
      <c r="I264" s="3" t="s">
        <v>925</v>
      </c>
      <c r="M264" s="8" t="n">
        <v>219393</v>
      </c>
      <c r="P264" s="9" t="n">
        <v>52</v>
      </c>
      <c r="Q264" s="9" t="n">
        <v>3.8</v>
      </c>
      <c r="R264" s="9" t="n">
        <v>1</v>
      </c>
      <c r="S264" s="8" t="n">
        <v>902263</v>
      </c>
      <c r="T264" s="10" t="n">
        <v>36</v>
      </c>
      <c r="U264" s="9" t="n">
        <v>9</v>
      </c>
      <c r="V264" s="3" t="s">
        <v>92</v>
      </c>
      <c r="W264" s="9" t="n">
        <v>1</v>
      </c>
      <c r="Z264" s="3" t="s">
        <v>56</v>
      </c>
      <c r="AA264" s="3" t="s">
        <v>861</v>
      </c>
      <c r="AB264" s="11" t="n">
        <v>46127</v>
      </c>
    </row>
    <row r="265" customFormat="false" ht="15" hidden="false" customHeight="false" outlineLevel="0" collapsed="false">
      <c r="A265" s="3" t="s">
        <v>926</v>
      </c>
      <c r="B265" s="3" t="s">
        <v>378</v>
      </c>
      <c r="C265" s="3" t="s">
        <v>150</v>
      </c>
      <c r="D265" s="3" t="s">
        <v>379</v>
      </c>
      <c r="E265" s="3" t="s">
        <v>927</v>
      </c>
      <c r="F265" s="3" t="s">
        <v>622</v>
      </c>
      <c r="G265" s="3" t="s">
        <v>52</v>
      </c>
      <c r="H265" s="3" t="s">
        <v>623</v>
      </c>
      <c r="I265" s="3" t="s">
        <v>928</v>
      </c>
      <c r="M265" s="8" t="n">
        <v>121774</v>
      </c>
      <c r="P265" s="9" t="n">
        <v>67</v>
      </c>
      <c r="Q265" s="9" t="n">
        <v>28.9</v>
      </c>
      <c r="R265" s="9" t="n">
        <v>1</v>
      </c>
      <c r="S265" s="8" t="n">
        <v>397400</v>
      </c>
      <c r="T265" s="10" t="n">
        <v>61.8</v>
      </c>
      <c r="U265" s="9" t="n">
        <v>8</v>
      </c>
      <c r="V265" s="3" t="s">
        <v>55</v>
      </c>
      <c r="W265" s="9" t="n">
        <v>1</v>
      </c>
      <c r="Z265" s="3" t="s">
        <v>56</v>
      </c>
      <c r="AA265" s="3" t="s">
        <v>861</v>
      </c>
      <c r="AB265" s="11" t="n">
        <v>46127</v>
      </c>
    </row>
    <row r="266" customFormat="false" ht="15" hidden="false" customHeight="false" outlineLevel="0" collapsed="false">
      <c r="A266" s="3" t="s">
        <v>929</v>
      </c>
      <c r="B266" s="3" t="s">
        <v>378</v>
      </c>
      <c r="C266" s="3" t="s">
        <v>154</v>
      </c>
      <c r="D266" s="3" t="s">
        <v>391</v>
      </c>
      <c r="E266" s="3" t="s">
        <v>930</v>
      </c>
      <c r="F266" s="3" t="s">
        <v>622</v>
      </c>
      <c r="G266" s="3" t="s">
        <v>52</v>
      </c>
      <c r="H266" s="3" t="s">
        <v>623</v>
      </c>
      <c r="I266" s="3" t="s">
        <v>931</v>
      </c>
      <c r="M266" s="8" t="n">
        <v>223197</v>
      </c>
      <c r="P266" s="9" t="n">
        <v>55</v>
      </c>
      <c r="Q266" s="9" t="n">
        <v>23.4</v>
      </c>
      <c r="R266" s="9" t="n">
        <v>1</v>
      </c>
      <c r="S266" s="8" t="n">
        <v>530375</v>
      </c>
      <c r="T266" s="10" t="n">
        <v>73.5</v>
      </c>
      <c r="U266" s="9" t="n">
        <v>8</v>
      </c>
      <c r="V266" s="3" t="s">
        <v>55</v>
      </c>
      <c r="W266" s="9" t="n">
        <v>1</v>
      </c>
      <c r="Z266" s="3" t="s">
        <v>56</v>
      </c>
      <c r="AA266" s="3" t="s">
        <v>861</v>
      </c>
      <c r="AB266" s="11" t="n">
        <v>46127</v>
      </c>
    </row>
    <row r="267" customFormat="false" ht="15" hidden="false" customHeight="false" outlineLevel="0" collapsed="false">
      <c r="A267" s="3" t="s">
        <v>932</v>
      </c>
      <c r="B267" s="3" t="s">
        <v>378</v>
      </c>
      <c r="C267" s="3" t="s">
        <v>158</v>
      </c>
      <c r="D267" s="3" t="s">
        <v>391</v>
      </c>
      <c r="E267" s="3" t="s">
        <v>933</v>
      </c>
      <c r="F267" s="3" t="s">
        <v>622</v>
      </c>
      <c r="G267" s="3" t="s">
        <v>52</v>
      </c>
      <c r="H267" s="3" t="s">
        <v>623</v>
      </c>
      <c r="I267" s="3" t="s">
        <v>934</v>
      </c>
      <c r="M267" s="8" t="n">
        <v>1162100</v>
      </c>
      <c r="P267" s="9" t="n">
        <v>72</v>
      </c>
      <c r="Q267" s="9" t="n">
        <v>4.1</v>
      </c>
      <c r="R267" s="9" t="n">
        <v>1</v>
      </c>
      <c r="S267" s="8" t="n">
        <v>655428</v>
      </c>
      <c r="T267" s="10" t="n">
        <v>37.3</v>
      </c>
      <c r="U267" s="9" t="n">
        <v>8</v>
      </c>
      <c r="V267" s="3" t="s">
        <v>92</v>
      </c>
      <c r="W267" s="9" t="n">
        <v>1</v>
      </c>
      <c r="Z267" s="3" t="s">
        <v>56</v>
      </c>
      <c r="AA267" s="3" t="s">
        <v>861</v>
      </c>
      <c r="AB267" s="11" t="n">
        <v>46127</v>
      </c>
    </row>
    <row r="268" customFormat="false" ht="15" hidden="false" customHeight="false" outlineLevel="0" collapsed="false">
      <c r="A268" s="3" t="s">
        <v>935</v>
      </c>
      <c r="B268" s="3" t="s">
        <v>378</v>
      </c>
      <c r="C268" s="3" t="s">
        <v>162</v>
      </c>
      <c r="D268" s="3" t="s">
        <v>379</v>
      </c>
      <c r="E268" s="3" t="s">
        <v>936</v>
      </c>
      <c r="F268" s="3" t="s">
        <v>622</v>
      </c>
      <c r="G268" s="3" t="s">
        <v>52</v>
      </c>
      <c r="H268" s="3" t="s">
        <v>623</v>
      </c>
      <c r="I268" s="3" t="s">
        <v>937</v>
      </c>
      <c r="M268" s="8" t="n">
        <v>452903</v>
      </c>
      <c r="P268" s="9" t="n">
        <v>66</v>
      </c>
      <c r="Q268" s="9" t="n">
        <v>4</v>
      </c>
      <c r="R268" s="9" t="n">
        <v>1</v>
      </c>
      <c r="S268" s="8" t="n">
        <v>539222</v>
      </c>
      <c r="T268" s="10" t="n">
        <v>61.7</v>
      </c>
      <c r="U268" s="9" t="n">
        <v>8</v>
      </c>
      <c r="V268" s="3" t="s">
        <v>83</v>
      </c>
      <c r="W268" s="9" t="n">
        <v>1</v>
      </c>
      <c r="Z268" s="3" t="s">
        <v>56</v>
      </c>
      <c r="AA268" s="3" t="s">
        <v>861</v>
      </c>
      <c r="AB268" s="11" t="n">
        <v>46127</v>
      </c>
    </row>
    <row r="269" customFormat="false" ht="15" hidden="false" customHeight="false" outlineLevel="0" collapsed="false">
      <c r="A269" s="3" t="s">
        <v>938</v>
      </c>
      <c r="B269" s="3" t="s">
        <v>378</v>
      </c>
      <c r="C269" s="3" t="s">
        <v>166</v>
      </c>
      <c r="D269" s="3" t="s">
        <v>391</v>
      </c>
      <c r="E269" s="3" t="s">
        <v>939</v>
      </c>
      <c r="F269" s="3" t="s">
        <v>622</v>
      </c>
      <c r="G269" s="3" t="s">
        <v>52</v>
      </c>
      <c r="H269" s="3" t="s">
        <v>623</v>
      </c>
      <c r="I269" s="3" t="s">
        <v>940</v>
      </c>
      <c r="M269" s="8" t="n">
        <v>1275535</v>
      </c>
      <c r="P269" s="9" t="n">
        <v>74</v>
      </c>
      <c r="Q269" s="9" t="n">
        <v>29.6</v>
      </c>
      <c r="R269" s="9" t="n">
        <v>2</v>
      </c>
      <c r="S269" s="8" t="n">
        <v>226240</v>
      </c>
      <c r="T269" s="10" t="n">
        <v>54.8</v>
      </c>
      <c r="U269" s="9" t="n">
        <v>7</v>
      </c>
      <c r="V269" s="3" t="s">
        <v>83</v>
      </c>
      <c r="W269" s="9" t="n">
        <v>1</v>
      </c>
      <c r="Z269" s="3" t="s">
        <v>56</v>
      </c>
      <c r="AA269" s="3" t="s">
        <v>861</v>
      </c>
      <c r="AB269" s="11" t="n">
        <v>46127</v>
      </c>
    </row>
    <row r="270" customFormat="false" ht="15" hidden="false" customHeight="false" outlineLevel="0" collapsed="false">
      <c r="A270" s="3" t="s">
        <v>941</v>
      </c>
      <c r="B270" s="3" t="s">
        <v>378</v>
      </c>
      <c r="C270" s="3" t="s">
        <v>170</v>
      </c>
      <c r="D270" s="3" t="s">
        <v>379</v>
      </c>
      <c r="E270" s="3" t="s">
        <v>942</v>
      </c>
      <c r="F270" s="3" t="s">
        <v>622</v>
      </c>
      <c r="G270" s="3" t="s">
        <v>52</v>
      </c>
      <c r="H270" s="3" t="s">
        <v>623</v>
      </c>
      <c r="I270" s="3" t="s">
        <v>943</v>
      </c>
      <c r="M270" s="8" t="n">
        <v>599062</v>
      </c>
      <c r="P270" s="9" t="n">
        <v>66</v>
      </c>
      <c r="Q270" s="9" t="n">
        <v>8.8</v>
      </c>
      <c r="R270" s="9" t="n">
        <v>1</v>
      </c>
      <c r="S270" s="8" t="n">
        <v>212082</v>
      </c>
      <c r="T270" s="10" t="n">
        <v>47.1</v>
      </c>
      <c r="U270" s="9" t="n">
        <v>5</v>
      </c>
      <c r="V270" s="3" t="s">
        <v>55</v>
      </c>
      <c r="W270" s="9" t="n">
        <v>1</v>
      </c>
      <c r="Z270" s="3" t="s">
        <v>56</v>
      </c>
      <c r="AA270" s="3" t="s">
        <v>861</v>
      </c>
      <c r="AB270" s="11" t="n">
        <v>46127</v>
      </c>
    </row>
    <row r="271" customFormat="false" ht="15" hidden="false" customHeight="false" outlineLevel="0" collapsed="false">
      <c r="A271" s="3" t="s">
        <v>944</v>
      </c>
      <c r="B271" s="3" t="s">
        <v>378</v>
      </c>
      <c r="C271" s="3" t="s">
        <v>174</v>
      </c>
      <c r="D271" s="3" t="s">
        <v>379</v>
      </c>
      <c r="E271" s="3" t="s">
        <v>945</v>
      </c>
      <c r="F271" s="3" t="s">
        <v>622</v>
      </c>
      <c r="G271" s="3" t="s">
        <v>52</v>
      </c>
      <c r="H271" s="3" t="s">
        <v>623</v>
      </c>
      <c r="I271" s="3" t="s">
        <v>946</v>
      </c>
      <c r="M271" s="8" t="n">
        <v>240094</v>
      </c>
      <c r="P271" s="9" t="n">
        <v>62</v>
      </c>
      <c r="Q271" s="9" t="n">
        <v>11.4</v>
      </c>
      <c r="R271" s="9" t="n">
        <v>1</v>
      </c>
      <c r="S271" s="8" t="n">
        <v>933115</v>
      </c>
      <c r="T271" s="10" t="n">
        <v>66.3</v>
      </c>
      <c r="U271" s="9" t="n">
        <v>4</v>
      </c>
      <c r="V271" s="3" t="s">
        <v>62</v>
      </c>
      <c r="W271" s="9" t="n">
        <v>1</v>
      </c>
      <c r="Z271" s="3" t="s">
        <v>56</v>
      </c>
      <c r="AA271" s="3" t="s">
        <v>861</v>
      </c>
      <c r="AB271" s="11" t="n">
        <v>46127</v>
      </c>
    </row>
    <row r="272" customFormat="false" ht="15" hidden="false" customHeight="false" outlineLevel="0" collapsed="false">
      <c r="A272" s="3" t="s">
        <v>947</v>
      </c>
      <c r="B272" s="3" t="s">
        <v>378</v>
      </c>
      <c r="C272" s="3" t="s">
        <v>178</v>
      </c>
      <c r="D272" s="3" t="s">
        <v>384</v>
      </c>
      <c r="E272" s="3" t="s">
        <v>948</v>
      </c>
      <c r="F272" s="3" t="s">
        <v>622</v>
      </c>
      <c r="G272" s="3" t="s">
        <v>52</v>
      </c>
      <c r="H272" s="3" t="s">
        <v>623</v>
      </c>
      <c r="I272" s="3" t="s">
        <v>949</v>
      </c>
      <c r="M272" s="8" t="n">
        <v>677437</v>
      </c>
      <c r="P272" s="9" t="n">
        <v>77</v>
      </c>
      <c r="Q272" s="9" t="n">
        <v>17.2</v>
      </c>
      <c r="R272" s="9" t="n">
        <v>1</v>
      </c>
      <c r="S272" s="8" t="n">
        <v>361868</v>
      </c>
      <c r="T272" s="10" t="n">
        <v>37.1</v>
      </c>
      <c r="U272" s="9" t="n">
        <v>5</v>
      </c>
      <c r="V272" s="3" t="s">
        <v>55</v>
      </c>
      <c r="W272" s="9" t="n">
        <v>1</v>
      </c>
      <c r="Z272" s="3" t="s">
        <v>56</v>
      </c>
      <c r="AA272" s="3" t="s">
        <v>861</v>
      </c>
      <c r="AB272" s="11" t="n">
        <v>46127</v>
      </c>
    </row>
    <row r="273" customFormat="false" ht="15" hidden="false" customHeight="false" outlineLevel="0" collapsed="false">
      <c r="A273" s="3" t="s">
        <v>950</v>
      </c>
      <c r="B273" s="3" t="s">
        <v>378</v>
      </c>
      <c r="C273" s="3" t="s">
        <v>182</v>
      </c>
      <c r="D273" s="3" t="s">
        <v>379</v>
      </c>
      <c r="E273" s="3" t="s">
        <v>951</v>
      </c>
      <c r="F273" s="3" t="s">
        <v>622</v>
      </c>
      <c r="G273" s="3" t="s">
        <v>52</v>
      </c>
      <c r="H273" s="3" t="s">
        <v>623</v>
      </c>
      <c r="I273" s="3" t="s">
        <v>952</v>
      </c>
      <c r="M273" s="8" t="n">
        <v>219216</v>
      </c>
      <c r="P273" s="9" t="n">
        <v>36</v>
      </c>
      <c r="Q273" s="9" t="n">
        <v>28.7</v>
      </c>
      <c r="R273" s="9" t="n">
        <v>1</v>
      </c>
      <c r="S273" s="8" t="n">
        <v>484187</v>
      </c>
      <c r="T273" s="10" t="n">
        <v>15</v>
      </c>
      <c r="U273" s="9" t="n">
        <v>4</v>
      </c>
      <c r="V273" s="3" t="s">
        <v>62</v>
      </c>
      <c r="W273" s="9" t="n">
        <v>1</v>
      </c>
      <c r="Z273" s="3" t="s">
        <v>56</v>
      </c>
      <c r="AA273" s="3" t="s">
        <v>861</v>
      </c>
      <c r="AB273" s="11" t="n">
        <v>46127</v>
      </c>
    </row>
    <row r="274" customFormat="false" ht="15" hidden="false" customHeight="false" outlineLevel="0" collapsed="false">
      <c r="A274" s="3" t="s">
        <v>953</v>
      </c>
      <c r="B274" s="3" t="s">
        <v>378</v>
      </c>
      <c r="C274" s="3" t="s">
        <v>186</v>
      </c>
      <c r="D274" s="3" t="s">
        <v>384</v>
      </c>
      <c r="E274" s="3" t="s">
        <v>954</v>
      </c>
      <c r="F274" s="3" t="s">
        <v>622</v>
      </c>
      <c r="G274" s="3" t="s">
        <v>52</v>
      </c>
      <c r="H274" s="3" t="s">
        <v>623</v>
      </c>
      <c r="I274" s="3" t="s">
        <v>955</v>
      </c>
      <c r="M274" s="8" t="n">
        <v>689758</v>
      </c>
      <c r="P274" s="9" t="n">
        <v>46</v>
      </c>
      <c r="Q274" s="9" t="n">
        <v>29.5</v>
      </c>
      <c r="R274" s="9" t="n">
        <v>1</v>
      </c>
      <c r="S274" s="8" t="n">
        <v>231447</v>
      </c>
      <c r="T274" s="10" t="n">
        <v>42.6</v>
      </c>
      <c r="U274" s="9" t="n">
        <v>7</v>
      </c>
      <c r="V274" s="3" t="s">
        <v>55</v>
      </c>
      <c r="W274" s="9" t="n">
        <v>1</v>
      </c>
      <c r="Z274" s="3" t="s">
        <v>56</v>
      </c>
      <c r="AA274" s="3" t="s">
        <v>861</v>
      </c>
      <c r="AB274" s="11" t="n">
        <v>46127</v>
      </c>
    </row>
    <row r="275" customFormat="false" ht="15" hidden="false" customHeight="false" outlineLevel="0" collapsed="false">
      <c r="A275" s="3" t="s">
        <v>956</v>
      </c>
      <c r="B275" s="3" t="s">
        <v>378</v>
      </c>
      <c r="C275" s="3" t="s">
        <v>190</v>
      </c>
      <c r="D275" s="3" t="s">
        <v>391</v>
      </c>
      <c r="E275" s="3" t="s">
        <v>957</v>
      </c>
      <c r="F275" s="3" t="s">
        <v>622</v>
      </c>
      <c r="G275" s="3" t="s">
        <v>52</v>
      </c>
      <c r="H275" s="3" t="s">
        <v>623</v>
      </c>
      <c r="I275" s="3" t="s">
        <v>958</v>
      </c>
      <c r="M275" s="8" t="n">
        <v>1293714</v>
      </c>
      <c r="P275" s="9" t="n">
        <v>49</v>
      </c>
      <c r="Q275" s="9" t="n">
        <v>22.5</v>
      </c>
      <c r="R275" s="9" t="n">
        <v>1</v>
      </c>
      <c r="S275" s="8" t="n">
        <v>102627</v>
      </c>
      <c r="T275" s="10" t="n">
        <v>59.6</v>
      </c>
      <c r="U275" s="9" t="n">
        <v>6</v>
      </c>
      <c r="V275" s="3" t="s">
        <v>55</v>
      </c>
      <c r="W275" s="9" t="n">
        <v>1</v>
      </c>
      <c r="Z275" s="3" t="s">
        <v>56</v>
      </c>
      <c r="AA275" s="3" t="s">
        <v>861</v>
      </c>
      <c r="AB275" s="11" t="n">
        <v>46127</v>
      </c>
    </row>
    <row r="276" customFormat="false" ht="15" hidden="false" customHeight="false" outlineLevel="0" collapsed="false">
      <c r="A276" s="3" t="s">
        <v>959</v>
      </c>
      <c r="B276" s="3" t="s">
        <v>378</v>
      </c>
      <c r="C276" s="3" t="s">
        <v>194</v>
      </c>
      <c r="D276" s="3" t="s">
        <v>391</v>
      </c>
      <c r="E276" s="3" t="s">
        <v>960</v>
      </c>
      <c r="F276" s="3" t="s">
        <v>622</v>
      </c>
      <c r="G276" s="3" t="s">
        <v>52</v>
      </c>
      <c r="H276" s="3" t="s">
        <v>623</v>
      </c>
      <c r="I276" s="3" t="s">
        <v>961</v>
      </c>
      <c r="M276" s="8" t="n">
        <v>676416</v>
      </c>
      <c r="P276" s="9" t="n">
        <v>62</v>
      </c>
      <c r="Q276" s="9" t="n">
        <v>26.8</v>
      </c>
      <c r="R276" s="9" t="n">
        <v>1</v>
      </c>
      <c r="S276" s="8" t="n">
        <v>221328</v>
      </c>
      <c r="T276" s="10" t="n">
        <v>93.3</v>
      </c>
      <c r="U276" s="9" t="n">
        <v>6</v>
      </c>
      <c r="V276" s="3" t="s">
        <v>92</v>
      </c>
      <c r="W276" s="9" t="n">
        <v>1</v>
      </c>
      <c r="Z276" s="3" t="s">
        <v>56</v>
      </c>
      <c r="AA276" s="3" t="s">
        <v>861</v>
      </c>
      <c r="AB276" s="11" t="n">
        <v>46127</v>
      </c>
    </row>
    <row r="277" customFormat="false" ht="15" hidden="false" customHeight="false" outlineLevel="0" collapsed="false">
      <c r="A277" s="3" t="s">
        <v>962</v>
      </c>
      <c r="B277" s="3" t="s">
        <v>378</v>
      </c>
      <c r="C277" s="3" t="s">
        <v>198</v>
      </c>
      <c r="D277" s="3" t="s">
        <v>391</v>
      </c>
      <c r="E277" s="3" t="s">
        <v>963</v>
      </c>
      <c r="F277" s="3" t="s">
        <v>622</v>
      </c>
      <c r="G277" s="3" t="s">
        <v>52</v>
      </c>
      <c r="H277" s="3" t="s">
        <v>623</v>
      </c>
      <c r="I277" s="3" t="s">
        <v>964</v>
      </c>
      <c r="M277" s="8" t="n">
        <v>233478</v>
      </c>
      <c r="P277" s="9" t="n">
        <v>65</v>
      </c>
      <c r="Q277" s="9" t="n">
        <v>17.4</v>
      </c>
      <c r="R277" s="9" t="n">
        <v>1</v>
      </c>
      <c r="S277" s="8" t="n">
        <v>101539</v>
      </c>
      <c r="T277" s="10" t="n">
        <v>39.7</v>
      </c>
      <c r="U277" s="9" t="n">
        <v>4</v>
      </c>
      <c r="V277" s="3" t="s">
        <v>92</v>
      </c>
      <c r="W277" s="9" t="n">
        <v>1</v>
      </c>
      <c r="Z277" s="3" t="s">
        <v>56</v>
      </c>
      <c r="AA277" s="3" t="s">
        <v>861</v>
      </c>
      <c r="AB277" s="11" t="n">
        <v>46127</v>
      </c>
    </row>
    <row r="278" customFormat="false" ht="15" hidden="false" customHeight="false" outlineLevel="0" collapsed="false">
      <c r="A278" s="3" t="s">
        <v>965</v>
      </c>
      <c r="B278" s="3" t="s">
        <v>378</v>
      </c>
      <c r="C278" s="3" t="s">
        <v>202</v>
      </c>
      <c r="D278" s="3" t="s">
        <v>379</v>
      </c>
      <c r="E278" s="3" t="s">
        <v>966</v>
      </c>
      <c r="F278" s="3" t="s">
        <v>622</v>
      </c>
      <c r="G278" s="3" t="s">
        <v>52</v>
      </c>
      <c r="H278" s="3" t="s">
        <v>623</v>
      </c>
      <c r="I278" s="3" t="s">
        <v>967</v>
      </c>
      <c r="M278" s="8" t="n">
        <v>267424</v>
      </c>
      <c r="P278" s="9" t="n">
        <v>41</v>
      </c>
      <c r="Q278" s="9" t="n">
        <v>3.2</v>
      </c>
      <c r="R278" s="9" t="n">
        <v>3</v>
      </c>
      <c r="S278" s="8" t="n">
        <v>102793</v>
      </c>
      <c r="T278" s="10" t="n">
        <v>84.1</v>
      </c>
      <c r="U278" s="9" t="n">
        <v>10</v>
      </c>
      <c r="V278" s="3" t="s">
        <v>55</v>
      </c>
      <c r="W278" s="9" t="n">
        <v>1</v>
      </c>
      <c r="Z278" s="3" t="s">
        <v>56</v>
      </c>
      <c r="AA278" s="3" t="s">
        <v>861</v>
      </c>
      <c r="AB278" s="11" t="n">
        <v>46127</v>
      </c>
    </row>
    <row r="279" customFormat="false" ht="15" hidden="false" customHeight="false" outlineLevel="0" collapsed="false">
      <c r="A279" s="3" t="s">
        <v>968</v>
      </c>
      <c r="B279" s="3" t="s">
        <v>378</v>
      </c>
      <c r="C279" s="3" t="s">
        <v>206</v>
      </c>
      <c r="D279" s="3" t="s">
        <v>379</v>
      </c>
      <c r="E279" s="3" t="s">
        <v>969</v>
      </c>
      <c r="F279" s="3" t="s">
        <v>622</v>
      </c>
      <c r="G279" s="3" t="s">
        <v>52</v>
      </c>
      <c r="H279" s="3" t="s">
        <v>623</v>
      </c>
      <c r="I279" s="3" t="s">
        <v>970</v>
      </c>
      <c r="M279" s="8" t="n">
        <v>205917</v>
      </c>
      <c r="P279" s="9" t="n">
        <v>60</v>
      </c>
      <c r="Q279" s="9" t="n">
        <v>6.3</v>
      </c>
      <c r="R279" s="9" t="n">
        <v>1</v>
      </c>
      <c r="S279" s="8" t="n">
        <v>366068</v>
      </c>
      <c r="T279" s="10" t="n">
        <v>64</v>
      </c>
      <c r="U279" s="9" t="n">
        <v>1</v>
      </c>
      <c r="V279" s="3" t="s">
        <v>83</v>
      </c>
      <c r="W279" s="9" t="n">
        <v>1</v>
      </c>
      <c r="Z279" s="3" t="s">
        <v>56</v>
      </c>
      <c r="AA279" s="3" t="s">
        <v>861</v>
      </c>
      <c r="AB279" s="11" t="n">
        <v>46127</v>
      </c>
    </row>
    <row r="280" customFormat="false" ht="15" hidden="false" customHeight="false" outlineLevel="0" collapsed="false">
      <c r="A280" s="3" t="s">
        <v>971</v>
      </c>
      <c r="B280" s="3" t="s">
        <v>378</v>
      </c>
      <c r="C280" s="3" t="s">
        <v>210</v>
      </c>
      <c r="D280" s="3" t="s">
        <v>384</v>
      </c>
      <c r="E280" s="3" t="s">
        <v>972</v>
      </c>
      <c r="F280" s="3" t="s">
        <v>622</v>
      </c>
      <c r="G280" s="3" t="s">
        <v>52</v>
      </c>
      <c r="H280" s="3" t="s">
        <v>623</v>
      </c>
      <c r="I280" s="3" t="s">
        <v>973</v>
      </c>
      <c r="M280" s="8" t="n">
        <v>1097247</v>
      </c>
      <c r="P280" s="9" t="n">
        <v>74</v>
      </c>
      <c r="Q280" s="9" t="n">
        <v>12.4</v>
      </c>
      <c r="R280" s="9" t="n">
        <v>1</v>
      </c>
      <c r="S280" s="8" t="n">
        <v>1239633</v>
      </c>
      <c r="T280" s="10" t="n">
        <v>21</v>
      </c>
      <c r="U280" s="9" t="n">
        <v>5</v>
      </c>
      <c r="V280" s="3" t="s">
        <v>83</v>
      </c>
      <c r="W280" s="9" t="n">
        <v>1</v>
      </c>
      <c r="Z280" s="3" t="s">
        <v>56</v>
      </c>
      <c r="AA280" s="3" t="s">
        <v>861</v>
      </c>
      <c r="AB280" s="11" t="n">
        <v>46127</v>
      </c>
    </row>
    <row r="281" customFormat="false" ht="15" hidden="false" customHeight="false" outlineLevel="0" collapsed="false">
      <c r="A281" s="3" t="s">
        <v>974</v>
      </c>
      <c r="B281" s="3" t="s">
        <v>378</v>
      </c>
      <c r="C281" s="3" t="s">
        <v>214</v>
      </c>
      <c r="D281" s="3" t="s">
        <v>379</v>
      </c>
      <c r="E281" s="3" t="s">
        <v>975</v>
      </c>
      <c r="F281" s="3" t="s">
        <v>622</v>
      </c>
      <c r="G281" s="3" t="s">
        <v>52</v>
      </c>
      <c r="H281" s="3" t="s">
        <v>623</v>
      </c>
      <c r="I281" s="3" t="s">
        <v>976</v>
      </c>
      <c r="M281" s="8" t="n">
        <v>415850</v>
      </c>
      <c r="P281" s="9" t="n">
        <v>47</v>
      </c>
      <c r="Q281" s="9" t="n">
        <v>20.2</v>
      </c>
      <c r="R281" s="9" t="n">
        <v>1</v>
      </c>
      <c r="S281" s="8" t="n">
        <v>134869</v>
      </c>
      <c r="T281" s="10" t="n">
        <v>79.4</v>
      </c>
      <c r="U281" s="9" t="n">
        <v>5</v>
      </c>
      <c r="V281" s="3" t="s">
        <v>83</v>
      </c>
      <c r="W281" s="9" t="n">
        <v>1</v>
      </c>
      <c r="Z281" s="3" t="s">
        <v>56</v>
      </c>
      <c r="AA281" s="3" t="s">
        <v>861</v>
      </c>
      <c r="AB281" s="11" t="n">
        <v>46127</v>
      </c>
    </row>
    <row r="282" customFormat="false" ht="15" hidden="false" customHeight="false" outlineLevel="0" collapsed="false">
      <c r="A282" s="3" t="s">
        <v>977</v>
      </c>
      <c r="B282" s="3" t="s">
        <v>378</v>
      </c>
      <c r="C282" s="3" t="s">
        <v>218</v>
      </c>
      <c r="D282" s="3" t="s">
        <v>379</v>
      </c>
      <c r="E282" s="3" t="s">
        <v>978</v>
      </c>
      <c r="F282" s="3" t="s">
        <v>622</v>
      </c>
      <c r="G282" s="3" t="s">
        <v>52</v>
      </c>
      <c r="H282" s="3" t="s">
        <v>623</v>
      </c>
      <c r="I282" s="3" t="s">
        <v>979</v>
      </c>
      <c r="M282" s="8" t="n">
        <v>848677</v>
      </c>
      <c r="P282" s="9" t="n">
        <v>57</v>
      </c>
      <c r="Q282" s="9" t="n">
        <v>20</v>
      </c>
      <c r="R282" s="9" t="n">
        <v>1</v>
      </c>
      <c r="S282" s="8" t="n">
        <v>498111</v>
      </c>
      <c r="T282" s="10" t="n">
        <v>22.3</v>
      </c>
      <c r="U282" s="9" t="n">
        <v>10</v>
      </c>
      <c r="V282" s="3" t="s">
        <v>55</v>
      </c>
      <c r="W282" s="9" t="n">
        <v>1</v>
      </c>
      <c r="Z282" s="3" t="s">
        <v>56</v>
      </c>
      <c r="AA282" s="3" t="s">
        <v>861</v>
      </c>
      <c r="AB282" s="11" t="n">
        <v>46127</v>
      </c>
    </row>
    <row r="283" customFormat="false" ht="15" hidden="false" customHeight="false" outlineLevel="0" collapsed="false">
      <c r="A283" s="3" t="s">
        <v>980</v>
      </c>
      <c r="B283" s="3" t="s">
        <v>378</v>
      </c>
      <c r="C283" s="3" t="s">
        <v>222</v>
      </c>
      <c r="D283" s="3" t="s">
        <v>379</v>
      </c>
      <c r="E283" s="3" t="s">
        <v>981</v>
      </c>
      <c r="F283" s="3" t="s">
        <v>622</v>
      </c>
      <c r="G283" s="3" t="s">
        <v>52</v>
      </c>
      <c r="H283" s="3" t="s">
        <v>623</v>
      </c>
      <c r="I283" s="3" t="s">
        <v>982</v>
      </c>
      <c r="M283" s="8" t="n">
        <v>186804</v>
      </c>
      <c r="P283" s="9" t="n">
        <v>56</v>
      </c>
      <c r="Q283" s="9" t="n">
        <v>29</v>
      </c>
      <c r="R283" s="9" t="n">
        <v>1</v>
      </c>
      <c r="S283" s="8" t="n">
        <v>355683</v>
      </c>
      <c r="T283" s="10" t="n">
        <v>21.5</v>
      </c>
      <c r="U283" s="9" t="n">
        <v>2</v>
      </c>
      <c r="V283" s="3" t="s">
        <v>83</v>
      </c>
      <c r="W283" s="9" t="n">
        <v>1</v>
      </c>
      <c r="Z283" s="3" t="s">
        <v>56</v>
      </c>
      <c r="AA283" s="3" t="s">
        <v>861</v>
      </c>
      <c r="AB283" s="11" t="n">
        <v>46127</v>
      </c>
    </row>
    <row r="284" customFormat="false" ht="15" hidden="false" customHeight="false" outlineLevel="0" collapsed="false">
      <c r="A284" s="3" t="s">
        <v>983</v>
      </c>
      <c r="B284" s="3" t="s">
        <v>378</v>
      </c>
      <c r="C284" s="3" t="s">
        <v>226</v>
      </c>
      <c r="D284" s="3" t="s">
        <v>384</v>
      </c>
      <c r="E284" s="3" t="s">
        <v>984</v>
      </c>
      <c r="F284" s="3" t="s">
        <v>622</v>
      </c>
      <c r="G284" s="3" t="s">
        <v>52</v>
      </c>
      <c r="H284" s="3" t="s">
        <v>623</v>
      </c>
      <c r="I284" s="3" t="s">
        <v>985</v>
      </c>
      <c r="M284" s="8" t="n">
        <v>210559</v>
      </c>
      <c r="P284" s="9" t="n">
        <v>53</v>
      </c>
      <c r="Q284" s="9" t="n">
        <v>21.5</v>
      </c>
      <c r="R284" s="9" t="n">
        <v>1</v>
      </c>
      <c r="S284" s="8" t="n">
        <v>127535</v>
      </c>
      <c r="T284" s="10" t="n">
        <v>16.7</v>
      </c>
      <c r="U284" s="9" t="n">
        <v>8</v>
      </c>
      <c r="V284" s="3" t="s">
        <v>62</v>
      </c>
      <c r="W284" s="9" t="n">
        <v>1</v>
      </c>
      <c r="Z284" s="3" t="s">
        <v>56</v>
      </c>
      <c r="AA284" s="3" t="s">
        <v>861</v>
      </c>
      <c r="AB284" s="11" t="n">
        <v>46127</v>
      </c>
    </row>
    <row r="285" customFormat="false" ht="15" hidden="false" customHeight="false" outlineLevel="0" collapsed="false">
      <c r="A285" s="3" t="s">
        <v>986</v>
      </c>
      <c r="B285" s="3" t="s">
        <v>378</v>
      </c>
      <c r="C285" s="3" t="s">
        <v>230</v>
      </c>
      <c r="D285" s="3" t="s">
        <v>379</v>
      </c>
      <c r="E285" s="3" t="s">
        <v>987</v>
      </c>
      <c r="F285" s="3" t="s">
        <v>622</v>
      </c>
      <c r="G285" s="3" t="s">
        <v>52</v>
      </c>
      <c r="H285" s="3" t="s">
        <v>623</v>
      </c>
      <c r="I285" s="3" t="s">
        <v>988</v>
      </c>
      <c r="M285" s="8" t="n">
        <v>640737</v>
      </c>
      <c r="P285" s="9" t="n">
        <v>36</v>
      </c>
      <c r="Q285" s="9" t="n">
        <v>10.1</v>
      </c>
      <c r="R285" s="9" t="n">
        <v>1</v>
      </c>
      <c r="S285" s="8" t="n">
        <v>136012</v>
      </c>
      <c r="T285" s="10" t="n">
        <v>74.3</v>
      </c>
      <c r="U285" s="9" t="n">
        <v>10</v>
      </c>
      <c r="V285" s="3" t="s">
        <v>55</v>
      </c>
      <c r="W285" s="9" t="n">
        <v>1</v>
      </c>
      <c r="Z285" s="3" t="s">
        <v>56</v>
      </c>
      <c r="AA285" s="3" t="s">
        <v>861</v>
      </c>
      <c r="AB285" s="11" t="n">
        <v>46127</v>
      </c>
    </row>
    <row r="286" customFormat="false" ht="15" hidden="false" customHeight="false" outlineLevel="0" collapsed="false">
      <c r="A286" s="3" t="s">
        <v>989</v>
      </c>
      <c r="B286" s="3" t="s">
        <v>378</v>
      </c>
      <c r="C286" s="3" t="s">
        <v>234</v>
      </c>
      <c r="D286" s="3" t="s">
        <v>384</v>
      </c>
      <c r="E286" s="3" t="s">
        <v>990</v>
      </c>
      <c r="F286" s="3" t="s">
        <v>622</v>
      </c>
      <c r="G286" s="3" t="s">
        <v>52</v>
      </c>
      <c r="H286" s="3" t="s">
        <v>623</v>
      </c>
      <c r="I286" s="3" t="s">
        <v>991</v>
      </c>
      <c r="M286" s="8" t="n">
        <v>711476</v>
      </c>
      <c r="P286" s="9" t="n">
        <v>59</v>
      </c>
      <c r="Q286" s="9" t="n">
        <v>26.4</v>
      </c>
      <c r="R286" s="9" t="n">
        <v>1</v>
      </c>
      <c r="S286" s="8" t="n">
        <v>249845</v>
      </c>
      <c r="T286" s="10" t="n">
        <v>31.8</v>
      </c>
      <c r="U286" s="9" t="n">
        <v>9</v>
      </c>
      <c r="V286" s="3" t="s">
        <v>92</v>
      </c>
      <c r="W286" s="9" t="n">
        <v>1</v>
      </c>
      <c r="Z286" s="3" t="s">
        <v>56</v>
      </c>
      <c r="AA286" s="3" t="s">
        <v>861</v>
      </c>
      <c r="AB286" s="11" t="n">
        <v>46127</v>
      </c>
    </row>
    <row r="287" customFormat="false" ht="15" hidden="false" customHeight="false" outlineLevel="0" collapsed="false">
      <c r="A287" s="3" t="s">
        <v>992</v>
      </c>
      <c r="B287" s="3" t="s">
        <v>378</v>
      </c>
      <c r="C287" s="3" t="s">
        <v>238</v>
      </c>
      <c r="D287" s="3" t="s">
        <v>379</v>
      </c>
      <c r="E287" s="3" t="s">
        <v>993</v>
      </c>
      <c r="F287" s="3" t="s">
        <v>622</v>
      </c>
      <c r="G287" s="3" t="s">
        <v>52</v>
      </c>
      <c r="H287" s="3" t="s">
        <v>623</v>
      </c>
      <c r="I287" s="3" t="s">
        <v>979</v>
      </c>
      <c r="M287" s="8" t="n">
        <v>220241</v>
      </c>
      <c r="P287" s="9" t="n">
        <v>41</v>
      </c>
      <c r="Q287" s="9" t="n">
        <v>3.3</v>
      </c>
      <c r="R287" s="9" t="n">
        <v>1</v>
      </c>
      <c r="S287" s="8" t="n">
        <v>791933</v>
      </c>
      <c r="T287" s="10" t="n">
        <v>90.8</v>
      </c>
      <c r="U287" s="9" t="n">
        <v>1</v>
      </c>
      <c r="V287" s="3" t="s">
        <v>55</v>
      </c>
      <c r="W287" s="9" t="n">
        <v>1</v>
      </c>
      <c r="Z287" s="3" t="s">
        <v>56</v>
      </c>
      <c r="AA287" s="3" t="s">
        <v>861</v>
      </c>
      <c r="AB287" s="11" t="n">
        <v>46127</v>
      </c>
    </row>
    <row r="288" customFormat="false" ht="15" hidden="false" customHeight="false" outlineLevel="0" collapsed="false">
      <c r="A288" s="3" t="s">
        <v>994</v>
      </c>
      <c r="B288" s="3" t="s">
        <v>378</v>
      </c>
      <c r="C288" s="3" t="s">
        <v>242</v>
      </c>
      <c r="D288" s="3" t="s">
        <v>391</v>
      </c>
      <c r="E288" s="3" t="s">
        <v>995</v>
      </c>
      <c r="F288" s="3" t="s">
        <v>622</v>
      </c>
      <c r="G288" s="3" t="s">
        <v>52</v>
      </c>
      <c r="H288" s="3" t="s">
        <v>623</v>
      </c>
      <c r="I288" s="3" t="s">
        <v>996</v>
      </c>
      <c r="M288" s="8" t="n">
        <v>167937</v>
      </c>
      <c r="P288" s="9" t="n">
        <v>73</v>
      </c>
      <c r="Q288" s="9" t="n">
        <v>18.4</v>
      </c>
      <c r="R288" s="9" t="n">
        <v>1</v>
      </c>
      <c r="S288" s="8" t="n">
        <v>1378550</v>
      </c>
      <c r="T288" s="10" t="n">
        <v>90.2</v>
      </c>
      <c r="U288" s="9" t="n">
        <v>3</v>
      </c>
      <c r="V288" s="3" t="s">
        <v>83</v>
      </c>
      <c r="W288" s="9" t="n">
        <v>1</v>
      </c>
      <c r="Z288" s="3" t="s">
        <v>56</v>
      </c>
      <c r="AA288" s="3" t="s">
        <v>861</v>
      </c>
      <c r="AB288" s="11" t="n">
        <v>46127</v>
      </c>
    </row>
    <row r="289" customFormat="false" ht="15" hidden="false" customHeight="false" outlineLevel="0" collapsed="false">
      <c r="A289" s="3" t="s">
        <v>997</v>
      </c>
      <c r="B289" s="3" t="s">
        <v>378</v>
      </c>
      <c r="C289" s="3" t="s">
        <v>246</v>
      </c>
      <c r="D289" s="3" t="s">
        <v>391</v>
      </c>
      <c r="E289" s="3" t="s">
        <v>998</v>
      </c>
      <c r="F289" s="3" t="s">
        <v>622</v>
      </c>
      <c r="G289" s="3" t="s">
        <v>52</v>
      </c>
      <c r="H289" s="3" t="s">
        <v>623</v>
      </c>
      <c r="I289" s="3" t="s">
        <v>999</v>
      </c>
      <c r="M289" s="8" t="n">
        <v>692202</v>
      </c>
      <c r="P289" s="9" t="n">
        <v>50</v>
      </c>
      <c r="Q289" s="9" t="n">
        <v>17</v>
      </c>
      <c r="R289" s="9" t="n">
        <v>1</v>
      </c>
      <c r="S289" s="8" t="n">
        <v>113218</v>
      </c>
      <c r="T289" s="10" t="n">
        <v>26.7</v>
      </c>
      <c r="U289" s="9" t="n">
        <v>6</v>
      </c>
      <c r="V289" s="3" t="s">
        <v>83</v>
      </c>
      <c r="W289" s="9" t="n">
        <v>1</v>
      </c>
      <c r="Z289" s="3" t="s">
        <v>56</v>
      </c>
      <c r="AA289" s="3" t="s">
        <v>861</v>
      </c>
      <c r="AB289" s="11" t="n">
        <v>46127</v>
      </c>
    </row>
    <row r="290" customFormat="false" ht="15" hidden="false" customHeight="false" outlineLevel="0" collapsed="false">
      <c r="A290" s="3" t="s">
        <v>1000</v>
      </c>
      <c r="B290" s="3" t="s">
        <v>378</v>
      </c>
      <c r="C290" s="3" t="s">
        <v>250</v>
      </c>
      <c r="D290" s="3" t="s">
        <v>379</v>
      </c>
      <c r="E290" s="3" t="s">
        <v>1001</v>
      </c>
      <c r="F290" s="3" t="s">
        <v>622</v>
      </c>
      <c r="G290" s="3" t="s">
        <v>52</v>
      </c>
      <c r="H290" s="3" t="s">
        <v>623</v>
      </c>
      <c r="I290" s="3" t="s">
        <v>1002</v>
      </c>
      <c r="M290" s="8" t="n">
        <v>245188</v>
      </c>
      <c r="P290" s="9" t="n">
        <v>39</v>
      </c>
      <c r="Q290" s="9" t="n">
        <v>7.3</v>
      </c>
      <c r="R290" s="9" t="n">
        <v>1</v>
      </c>
      <c r="S290" s="8" t="n">
        <v>1327720</v>
      </c>
      <c r="T290" s="10" t="n">
        <v>76.8</v>
      </c>
      <c r="U290" s="9" t="n">
        <v>3</v>
      </c>
      <c r="V290" s="3" t="s">
        <v>62</v>
      </c>
      <c r="W290" s="9" t="n">
        <v>1</v>
      </c>
      <c r="Z290" s="3" t="s">
        <v>56</v>
      </c>
      <c r="AA290" s="3" t="s">
        <v>861</v>
      </c>
      <c r="AB290" s="11" t="n">
        <v>46127</v>
      </c>
    </row>
    <row r="291" customFormat="false" ht="15" hidden="false" customHeight="false" outlineLevel="0" collapsed="false">
      <c r="A291" s="3" t="s">
        <v>1003</v>
      </c>
      <c r="B291" s="3" t="s">
        <v>378</v>
      </c>
      <c r="C291" s="3" t="s">
        <v>254</v>
      </c>
      <c r="D291" s="3" t="s">
        <v>391</v>
      </c>
      <c r="E291" s="3" t="s">
        <v>1004</v>
      </c>
      <c r="F291" s="3" t="s">
        <v>622</v>
      </c>
      <c r="G291" s="3" t="s">
        <v>52</v>
      </c>
      <c r="H291" s="3" t="s">
        <v>623</v>
      </c>
      <c r="I291" s="3" t="s">
        <v>1005</v>
      </c>
      <c r="M291" s="8" t="n">
        <v>243275</v>
      </c>
      <c r="P291" s="9" t="n">
        <v>66</v>
      </c>
      <c r="Q291" s="9" t="n">
        <v>5.2</v>
      </c>
      <c r="R291" s="9" t="n">
        <v>1</v>
      </c>
      <c r="S291" s="8" t="n">
        <v>768465</v>
      </c>
      <c r="T291" s="10" t="n">
        <v>22.6</v>
      </c>
      <c r="U291" s="9" t="n">
        <v>9</v>
      </c>
      <c r="V291" s="3" t="s">
        <v>92</v>
      </c>
      <c r="W291" s="9" t="n">
        <v>1</v>
      </c>
      <c r="Z291" s="3" t="s">
        <v>56</v>
      </c>
      <c r="AA291" s="3" t="s">
        <v>861</v>
      </c>
      <c r="AB291" s="11" t="n">
        <v>46127</v>
      </c>
    </row>
    <row r="292" customFormat="false" ht="15" hidden="false" customHeight="false" outlineLevel="0" collapsed="false">
      <c r="A292" s="3" t="s">
        <v>1006</v>
      </c>
      <c r="B292" s="3" t="s">
        <v>378</v>
      </c>
      <c r="C292" s="3" t="s">
        <v>258</v>
      </c>
      <c r="D292" s="3" t="s">
        <v>379</v>
      </c>
      <c r="E292" s="3" t="s">
        <v>1007</v>
      </c>
      <c r="F292" s="3" t="s">
        <v>622</v>
      </c>
      <c r="G292" s="3" t="s">
        <v>52</v>
      </c>
      <c r="H292" s="3" t="s">
        <v>623</v>
      </c>
      <c r="I292" s="3" t="s">
        <v>1008</v>
      </c>
      <c r="M292" s="8" t="n">
        <v>554938</v>
      </c>
      <c r="P292" s="9" t="n">
        <v>49</v>
      </c>
      <c r="Q292" s="9" t="n">
        <v>24.1</v>
      </c>
      <c r="R292" s="9" t="n">
        <v>3</v>
      </c>
      <c r="S292" s="8" t="n">
        <v>501367</v>
      </c>
      <c r="T292" s="10" t="n">
        <v>42.6</v>
      </c>
      <c r="U292" s="9" t="n">
        <v>1</v>
      </c>
      <c r="V292" s="3" t="s">
        <v>55</v>
      </c>
      <c r="W292" s="9" t="n">
        <v>1</v>
      </c>
      <c r="Z292" s="3" t="s">
        <v>56</v>
      </c>
      <c r="AA292" s="3" t="s">
        <v>861</v>
      </c>
      <c r="AB292" s="11" t="n">
        <v>46127</v>
      </c>
    </row>
    <row r="293" customFormat="false" ht="15" hidden="false" customHeight="false" outlineLevel="0" collapsed="false">
      <c r="A293" s="3" t="s">
        <v>1009</v>
      </c>
      <c r="B293" s="3" t="s">
        <v>378</v>
      </c>
      <c r="C293" s="3" t="s">
        <v>262</v>
      </c>
      <c r="D293" s="3" t="s">
        <v>391</v>
      </c>
      <c r="E293" s="3" t="s">
        <v>1010</v>
      </c>
      <c r="F293" s="3" t="s">
        <v>622</v>
      </c>
      <c r="G293" s="3" t="s">
        <v>52</v>
      </c>
      <c r="H293" s="3" t="s">
        <v>623</v>
      </c>
      <c r="I293" s="3" t="s">
        <v>1011</v>
      </c>
      <c r="M293" s="8" t="n">
        <v>411613</v>
      </c>
      <c r="P293" s="9" t="n">
        <v>36</v>
      </c>
      <c r="Q293" s="9" t="n">
        <v>27.3</v>
      </c>
      <c r="R293" s="9" t="n">
        <v>1</v>
      </c>
      <c r="S293" s="8" t="n">
        <v>163333</v>
      </c>
      <c r="T293" s="10" t="n">
        <v>81.2</v>
      </c>
      <c r="U293" s="9" t="n">
        <v>9</v>
      </c>
      <c r="V293" s="3" t="s">
        <v>83</v>
      </c>
      <c r="W293" s="9" t="n">
        <v>1</v>
      </c>
      <c r="Z293" s="3" t="s">
        <v>56</v>
      </c>
      <c r="AA293" s="3" t="s">
        <v>861</v>
      </c>
      <c r="AB293" s="11" t="n">
        <v>46127</v>
      </c>
    </row>
    <row r="294" customFormat="false" ht="15" hidden="false" customHeight="false" outlineLevel="0" collapsed="false">
      <c r="A294" s="3" t="s">
        <v>1012</v>
      </c>
      <c r="B294" s="3" t="s">
        <v>378</v>
      </c>
      <c r="C294" s="3" t="s">
        <v>266</v>
      </c>
      <c r="D294" s="3" t="s">
        <v>379</v>
      </c>
      <c r="E294" s="3" t="s">
        <v>1013</v>
      </c>
      <c r="F294" s="3" t="s">
        <v>622</v>
      </c>
      <c r="G294" s="3" t="s">
        <v>52</v>
      </c>
      <c r="H294" s="3" t="s">
        <v>623</v>
      </c>
      <c r="I294" s="3" t="s">
        <v>1014</v>
      </c>
      <c r="M294" s="8" t="n">
        <v>320224</v>
      </c>
      <c r="P294" s="9" t="n">
        <v>45</v>
      </c>
      <c r="Q294" s="9" t="n">
        <v>16</v>
      </c>
      <c r="R294" s="9" t="n">
        <v>1</v>
      </c>
      <c r="S294" s="8" t="n">
        <v>180198</v>
      </c>
      <c r="T294" s="10" t="n">
        <v>48.1</v>
      </c>
      <c r="U294" s="9" t="n">
        <v>10</v>
      </c>
      <c r="V294" s="3" t="s">
        <v>55</v>
      </c>
      <c r="W294" s="9" t="n">
        <v>1</v>
      </c>
      <c r="Z294" s="3" t="s">
        <v>56</v>
      </c>
      <c r="AA294" s="3" t="s">
        <v>861</v>
      </c>
      <c r="AB294" s="11" t="n">
        <v>46127</v>
      </c>
    </row>
    <row r="295" customFormat="false" ht="15" hidden="false" customHeight="false" outlineLevel="0" collapsed="false">
      <c r="A295" s="3" t="s">
        <v>1015</v>
      </c>
      <c r="B295" s="3" t="s">
        <v>378</v>
      </c>
      <c r="C295" s="3" t="s">
        <v>270</v>
      </c>
      <c r="D295" s="3" t="s">
        <v>379</v>
      </c>
      <c r="E295" s="3" t="s">
        <v>1016</v>
      </c>
      <c r="F295" s="3" t="s">
        <v>622</v>
      </c>
      <c r="G295" s="3" t="s">
        <v>52</v>
      </c>
      <c r="H295" s="3" t="s">
        <v>623</v>
      </c>
      <c r="I295" s="3" t="s">
        <v>1017</v>
      </c>
      <c r="M295" s="8" t="n">
        <v>523935</v>
      </c>
      <c r="P295" s="9" t="n">
        <v>69</v>
      </c>
      <c r="Q295" s="9" t="n">
        <v>15.9</v>
      </c>
      <c r="R295" s="9" t="n">
        <v>1</v>
      </c>
      <c r="S295" s="8" t="n">
        <v>312954</v>
      </c>
      <c r="T295" s="10" t="n">
        <v>31.6</v>
      </c>
      <c r="U295" s="9" t="n">
        <v>1</v>
      </c>
      <c r="V295" s="3" t="s">
        <v>55</v>
      </c>
      <c r="W295" s="9" t="n">
        <v>1</v>
      </c>
      <c r="Z295" s="3" t="s">
        <v>56</v>
      </c>
      <c r="AA295" s="3" t="s">
        <v>861</v>
      </c>
      <c r="AB295" s="11" t="n">
        <v>46127</v>
      </c>
    </row>
    <row r="296" customFormat="false" ht="15" hidden="false" customHeight="false" outlineLevel="0" collapsed="false">
      <c r="A296" s="3" t="s">
        <v>1018</v>
      </c>
      <c r="B296" s="3" t="s">
        <v>378</v>
      </c>
      <c r="C296" s="3" t="s">
        <v>274</v>
      </c>
      <c r="D296" s="3" t="s">
        <v>384</v>
      </c>
      <c r="E296" s="3" t="s">
        <v>1019</v>
      </c>
      <c r="F296" s="3" t="s">
        <v>622</v>
      </c>
      <c r="G296" s="3" t="s">
        <v>52</v>
      </c>
      <c r="H296" s="3" t="s">
        <v>623</v>
      </c>
      <c r="I296" s="3" t="s">
        <v>1020</v>
      </c>
      <c r="M296" s="8" t="n">
        <v>164353</v>
      </c>
      <c r="P296" s="9" t="n">
        <v>58</v>
      </c>
      <c r="Q296" s="9" t="n">
        <v>12.7</v>
      </c>
      <c r="R296" s="9" t="n">
        <v>1</v>
      </c>
      <c r="S296" s="8" t="n">
        <v>141311</v>
      </c>
      <c r="T296" s="10" t="n">
        <v>42.8</v>
      </c>
      <c r="U296" s="9" t="n">
        <v>3</v>
      </c>
      <c r="V296" s="3" t="s">
        <v>55</v>
      </c>
      <c r="W296" s="9" t="n">
        <v>1</v>
      </c>
      <c r="Z296" s="3" t="s">
        <v>56</v>
      </c>
      <c r="AA296" s="3" t="s">
        <v>861</v>
      </c>
      <c r="AB296" s="11" t="n">
        <v>46127</v>
      </c>
    </row>
    <row r="297" customFormat="false" ht="15" hidden="false" customHeight="false" outlineLevel="0" collapsed="false">
      <c r="A297" s="3" t="s">
        <v>1021</v>
      </c>
      <c r="B297" s="3" t="s">
        <v>378</v>
      </c>
      <c r="C297" s="3" t="s">
        <v>278</v>
      </c>
      <c r="D297" s="3" t="s">
        <v>384</v>
      </c>
      <c r="E297" s="3" t="s">
        <v>1022</v>
      </c>
      <c r="F297" s="3" t="s">
        <v>622</v>
      </c>
      <c r="G297" s="3" t="s">
        <v>52</v>
      </c>
      <c r="H297" s="3" t="s">
        <v>623</v>
      </c>
      <c r="I297" s="3" t="s">
        <v>1023</v>
      </c>
      <c r="M297" s="8" t="n">
        <v>610273</v>
      </c>
      <c r="P297" s="9" t="n">
        <v>58</v>
      </c>
      <c r="Q297" s="9" t="n">
        <v>22.9</v>
      </c>
      <c r="R297" s="9" t="n">
        <v>1</v>
      </c>
      <c r="S297" s="8" t="n">
        <v>737383</v>
      </c>
      <c r="T297" s="10" t="n">
        <v>67.8</v>
      </c>
      <c r="U297" s="9" t="n">
        <v>7</v>
      </c>
      <c r="V297" s="3" t="s">
        <v>92</v>
      </c>
      <c r="W297" s="9" t="n">
        <v>1</v>
      </c>
      <c r="Z297" s="3" t="s">
        <v>56</v>
      </c>
      <c r="AA297" s="3" t="s">
        <v>861</v>
      </c>
      <c r="AB297" s="11" t="n">
        <v>46127</v>
      </c>
    </row>
    <row r="298" customFormat="false" ht="15" hidden="false" customHeight="false" outlineLevel="0" collapsed="false">
      <c r="A298" s="3" t="s">
        <v>1024</v>
      </c>
      <c r="B298" s="3" t="s">
        <v>378</v>
      </c>
      <c r="C298" s="3" t="s">
        <v>282</v>
      </c>
      <c r="D298" s="3" t="s">
        <v>391</v>
      </c>
      <c r="E298" s="3" t="s">
        <v>1025</v>
      </c>
      <c r="F298" s="3" t="s">
        <v>622</v>
      </c>
      <c r="G298" s="3" t="s">
        <v>52</v>
      </c>
      <c r="H298" s="3" t="s">
        <v>623</v>
      </c>
      <c r="I298" s="3" t="s">
        <v>1026</v>
      </c>
      <c r="M298" s="8" t="n">
        <v>283968</v>
      </c>
      <c r="P298" s="9" t="n">
        <v>47</v>
      </c>
      <c r="Q298" s="9" t="n">
        <v>28.1</v>
      </c>
      <c r="R298" s="9" t="n">
        <v>1</v>
      </c>
      <c r="S298" s="8" t="n">
        <v>599389</v>
      </c>
      <c r="T298" s="10" t="n">
        <v>50.4</v>
      </c>
      <c r="U298" s="9" t="n">
        <v>1</v>
      </c>
      <c r="V298" s="3" t="s">
        <v>62</v>
      </c>
      <c r="W298" s="9" t="n">
        <v>1</v>
      </c>
      <c r="Z298" s="3" t="s">
        <v>56</v>
      </c>
      <c r="AA298" s="3" t="s">
        <v>861</v>
      </c>
      <c r="AB298" s="11" t="n">
        <v>46127</v>
      </c>
    </row>
    <row r="299" customFormat="false" ht="15" hidden="false" customHeight="false" outlineLevel="0" collapsed="false">
      <c r="A299" s="3" t="s">
        <v>1027</v>
      </c>
      <c r="B299" s="3" t="s">
        <v>378</v>
      </c>
      <c r="C299" s="3" t="s">
        <v>286</v>
      </c>
      <c r="D299" s="3" t="s">
        <v>384</v>
      </c>
      <c r="E299" s="3" t="s">
        <v>1028</v>
      </c>
      <c r="F299" s="3" t="s">
        <v>622</v>
      </c>
      <c r="G299" s="3" t="s">
        <v>52</v>
      </c>
      <c r="H299" s="3" t="s">
        <v>623</v>
      </c>
      <c r="I299" s="3" t="s">
        <v>1029</v>
      </c>
      <c r="M299" s="8" t="n">
        <v>292214</v>
      </c>
      <c r="P299" s="9" t="n">
        <v>40</v>
      </c>
      <c r="Q299" s="9" t="n">
        <v>8.8</v>
      </c>
      <c r="R299" s="9" t="n">
        <v>1</v>
      </c>
      <c r="S299" s="8" t="n">
        <v>448601</v>
      </c>
      <c r="T299" s="10" t="n">
        <v>19.6</v>
      </c>
      <c r="U299" s="9" t="n">
        <v>2</v>
      </c>
      <c r="V299" s="3" t="s">
        <v>55</v>
      </c>
      <c r="W299" s="9" t="n">
        <v>1</v>
      </c>
      <c r="Z299" s="3" t="s">
        <v>56</v>
      </c>
      <c r="AA299" s="3" t="s">
        <v>861</v>
      </c>
      <c r="AB299" s="11" t="n">
        <v>46127</v>
      </c>
    </row>
    <row r="300" customFormat="false" ht="15" hidden="false" customHeight="false" outlineLevel="0" collapsed="false">
      <c r="A300" s="3" t="s">
        <v>1030</v>
      </c>
      <c r="B300" s="3" t="s">
        <v>378</v>
      </c>
      <c r="C300" s="3" t="s">
        <v>290</v>
      </c>
      <c r="D300" s="3" t="s">
        <v>379</v>
      </c>
      <c r="E300" s="3" t="s">
        <v>1031</v>
      </c>
      <c r="F300" s="3" t="s">
        <v>622</v>
      </c>
      <c r="G300" s="3" t="s">
        <v>52</v>
      </c>
      <c r="H300" s="3" t="s">
        <v>623</v>
      </c>
      <c r="I300" s="3" t="s">
        <v>1032</v>
      </c>
      <c r="M300" s="8" t="n">
        <v>260150</v>
      </c>
      <c r="P300" s="9" t="n">
        <v>72</v>
      </c>
      <c r="Q300" s="9" t="n">
        <v>15.2</v>
      </c>
      <c r="R300" s="9" t="n">
        <v>1</v>
      </c>
      <c r="S300" s="8" t="n">
        <v>355828</v>
      </c>
      <c r="T300" s="10" t="n">
        <v>41.7</v>
      </c>
      <c r="U300" s="9" t="n">
        <v>2</v>
      </c>
      <c r="V300" s="3" t="s">
        <v>92</v>
      </c>
      <c r="W300" s="9" t="n">
        <v>1</v>
      </c>
      <c r="Z300" s="3" t="s">
        <v>56</v>
      </c>
      <c r="AA300" s="3" t="s">
        <v>861</v>
      </c>
      <c r="AB300" s="11" t="n">
        <v>46127</v>
      </c>
    </row>
    <row r="301" customFormat="false" ht="15" hidden="false" customHeight="false" outlineLevel="0" collapsed="false">
      <c r="A301" s="3" t="s">
        <v>1033</v>
      </c>
      <c r="B301" s="3" t="s">
        <v>378</v>
      </c>
      <c r="C301" s="3" t="s">
        <v>294</v>
      </c>
      <c r="D301" s="3" t="s">
        <v>384</v>
      </c>
      <c r="E301" s="3" t="s">
        <v>1034</v>
      </c>
      <c r="F301" s="3" t="s">
        <v>622</v>
      </c>
      <c r="G301" s="3" t="s">
        <v>52</v>
      </c>
      <c r="H301" s="3" t="s">
        <v>623</v>
      </c>
      <c r="I301" s="3" t="s">
        <v>1035</v>
      </c>
      <c r="M301" s="8" t="n">
        <v>256949</v>
      </c>
      <c r="P301" s="9" t="n">
        <v>67</v>
      </c>
      <c r="Q301" s="9" t="n">
        <v>25.7</v>
      </c>
      <c r="R301" s="9" t="n">
        <v>1</v>
      </c>
      <c r="S301" s="8" t="n">
        <v>574167</v>
      </c>
      <c r="T301" s="10" t="n">
        <v>31.1</v>
      </c>
      <c r="U301" s="9" t="n">
        <v>9</v>
      </c>
      <c r="V301" s="3" t="s">
        <v>92</v>
      </c>
      <c r="W301" s="9" t="n">
        <v>1</v>
      </c>
      <c r="Z301" s="3" t="s">
        <v>56</v>
      </c>
      <c r="AA301" s="3" t="s">
        <v>861</v>
      </c>
      <c r="AB301" s="11" t="n">
        <v>46127</v>
      </c>
    </row>
    <row r="302" customFormat="false" ht="15" hidden="false" customHeight="false" outlineLevel="0" collapsed="false">
      <c r="A302" s="3" t="s">
        <v>1036</v>
      </c>
      <c r="B302" s="3" t="s">
        <v>378</v>
      </c>
      <c r="C302" s="3" t="s">
        <v>298</v>
      </c>
      <c r="D302" s="3" t="s">
        <v>391</v>
      </c>
      <c r="E302" s="3" t="s">
        <v>1037</v>
      </c>
      <c r="F302" s="3" t="s">
        <v>622</v>
      </c>
      <c r="G302" s="3" t="s">
        <v>52</v>
      </c>
      <c r="H302" s="3" t="s">
        <v>623</v>
      </c>
      <c r="I302" s="3" t="s">
        <v>1038</v>
      </c>
      <c r="M302" s="8" t="n">
        <v>414955</v>
      </c>
      <c r="P302" s="9" t="n">
        <v>42</v>
      </c>
      <c r="Q302" s="9" t="n">
        <v>25.4</v>
      </c>
      <c r="R302" s="9" t="n">
        <v>1</v>
      </c>
      <c r="S302" s="8" t="n">
        <v>413020</v>
      </c>
      <c r="T302" s="10" t="n">
        <v>45.7</v>
      </c>
      <c r="U302" s="9" t="n">
        <v>7</v>
      </c>
      <c r="V302" s="3" t="s">
        <v>83</v>
      </c>
      <c r="W302" s="9" t="n">
        <v>1</v>
      </c>
      <c r="Z302" s="3" t="s">
        <v>56</v>
      </c>
      <c r="AA302" s="3" t="s">
        <v>861</v>
      </c>
      <c r="AB302" s="11" t="n">
        <v>46127</v>
      </c>
    </row>
    <row r="303" customFormat="false" ht="15" hidden="false" customHeight="false" outlineLevel="0" collapsed="false">
      <c r="A303" s="3" t="s">
        <v>1039</v>
      </c>
      <c r="B303" s="3" t="s">
        <v>378</v>
      </c>
      <c r="C303" s="3" t="s">
        <v>302</v>
      </c>
      <c r="D303" s="3" t="s">
        <v>379</v>
      </c>
      <c r="E303" s="3" t="s">
        <v>1040</v>
      </c>
      <c r="F303" s="3" t="s">
        <v>622</v>
      </c>
      <c r="G303" s="3" t="s">
        <v>52</v>
      </c>
      <c r="H303" s="3" t="s">
        <v>623</v>
      </c>
      <c r="I303" s="3" t="s">
        <v>1041</v>
      </c>
      <c r="M303" s="8" t="n">
        <v>851322</v>
      </c>
      <c r="P303" s="9" t="n">
        <v>46</v>
      </c>
      <c r="Q303" s="9" t="n">
        <v>29.7</v>
      </c>
      <c r="R303" s="9" t="n">
        <v>1</v>
      </c>
      <c r="S303" s="8" t="n">
        <v>745695</v>
      </c>
      <c r="T303" s="10" t="n">
        <v>49.5</v>
      </c>
      <c r="U303" s="9" t="n">
        <v>5</v>
      </c>
      <c r="V303" s="3" t="s">
        <v>55</v>
      </c>
      <c r="W303" s="9" t="n">
        <v>1</v>
      </c>
      <c r="Z303" s="3" t="s">
        <v>56</v>
      </c>
      <c r="AA303" s="3" t="s">
        <v>861</v>
      </c>
      <c r="AB303" s="11" t="n">
        <v>46127</v>
      </c>
    </row>
    <row r="304" customFormat="false" ht="15" hidden="false" customHeight="false" outlineLevel="0" collapsed="false">
      <c r="A304" s="3" t="s">
        <v>1042</v>
      </c>
      <c r="B304" s="3" t="s">
        <v>378</v>
      </c>
      <c r="C304" s="3" t="s">
        <v>306</v>
      </c>
      <c r="D304" s="3" t="s">
        <v>391</v>
      </c>
      <c r="E304" s="3" t="s">
        <v>1043</v>
      </c>
      <c r="F304" s="3" t="s">
        <v>622</v>
      </c>
      <c r="G304" s="3" t="s">
        <v>52</v>
      </c>
      <c r="H304" s="3" t="s">
        <v>623</v>
      </c>
      <c r="I304" s="3" t="s">
        <v>1044</v>
      </c>
      <c r="M304" s="8" t="n">
        <v>495391</v>
      </c>
      <c r="P304" s="9" t="n">
        <v>45</v>
      </c>
      <c r="Q304" s="9" t="n">
        <v>20.2</v>
      </c>
      <c r="R304" s="9" t="n">
        <v>1</v>
      </c>
      <c r="S304" s="8" t="n">
        <v>659575</v>
      </c>
      <c r="T304" s="10" t="n">
        <v>40.4</v>
      </c>
      <c r="U304" s="9" t="n">
        <v>9</v>
      </c>
      <c r="V304" s="3" t="s">
        <v>83</v>
      </c>
      <c r="W304" s="9" t="n">
        <v>1</v>
      </c>
      <c r="Z304" s="3" t="s">
        <v>56</v>
      </c>
      <c r="AA304" s="3" t="s">
        <v>861</v>
      </c>
      <c r="AB304" s="11" t="n">
        <v>46127</v>
      </c>
    </row>
    <row r="305" customFormat="false" ht="15" hidden="false" customHeight="false" outlineLevel="0" collapsed="false">
      <c r="A305" s="3" t="s">
        <v>1045</v>
      </c>
      <c r="B305" s="3" t="s">
        <v>378</v>
      </c>
      <c r="C305" s="3" t="s">
        <v>310</v>
      </c>
      <c r="D305" s="3" t="s">
        <v>379</v>
      </c>
      <c r="E305" s="3" t="s">
        <v>1046</v>
      </c>
      <c r="F305" s="3" t="s">
        <v>622</v>
      </c>
      <c r="G305" s="3" t="s">
        <v>52</v>
      </c>
      <c r="H305" s="3" t="s">
        <v>623</v>
      </c>
      <c r="I305" s="3" t="s">
        <v>1047</v>
      </c>
      <c r="M305" s="8" t="n">
        <v>242485</v>
      </c>
      <c r="P305" s="9" t="n">
        <v>51</v>
      </c>
      <c r="Q305" s="9" t="n">
        <v>11.1</v>
      </c>
      <c r="R305" s="9" t="n">
        <v>1</v>
      </c>
      <c r="S305" s="8" t="n">
        <v>454311</v>
      </c>
      <c r="T305" s="10" t="n">
        <v>32.7</v>
      </c>
      <c r="U305" s="9" t="n">
        <v>2</v>
      </c>
      <c r="V305" s="3" t="s">
        <v>92</v>
      </c>
      <c r="W305" s="9" t="n">
        <v>1</v>
      </c>
      <c r="Z305" s="3" t="s">
        <v>56</v>
      </c>
      <c r="AA305" s="3" t="s">
        <v>861</v>
      </c>
      <c r="AB305" s="11" t="n">
        <v>46127</v>
      </c>
    </row>
    <row r="306" customFormat="false" ht="15" hidden="false" customHeight="false" outlineLevel="0" collapsed="false">
      <c r="A306" s="3" t="s">
        <v>1048</v>
      </c>
      <c r="B306" s="3" t="s">
        <v>378</v>
      </c>
      <c r="C306" s="3" t="s">
        <v>314</v>
      </c>
      <c r="D306" s="3" t="s">
        <v>391</v>
      </c>
      <c r="E306" s="3" t="s">
        <v>1049</v>
      </c>
      <c r="F306" s="3" t="s">
        <v>622</v>
      </c>
      <c r="G306" s="3" t="s">
        <v>52</v>
      </c>
      <c r="H306" s="3" t="s">
        <v>623</v>
      </c>
      <c r="I306" s="3" t="s">
        <v>1050</v>
      </c>
      <c r="M306" s="8" t="n">
        <v>413604</v>
      </c>
      <c r="P306" s="9" t="n">
        <v>52</v>
      </c>
      <c r="Q306" s="9" t="n">
        <v>26.5</v>
      </c>
      <c r="R306" s="9" t="n">
        <v>1</v>
      </c>
      <c r="S306" s="8" t="n">
        <v>947651</v>
      </c>
      <c r="T306" s="10" t="n">
        <v>64.8</v>
      </c>
      <c r="U306" s="9" t="n">
        <v>5</v>
      </c>
      <c r="V306" s="3" t="s">
        <v>83</v>
      </c>
      <c r="W306" s="9" t="n">
        <v>1</v>
      </c>
      <c r="Z306" s="3" t="s">
        <v>56</v>
      </c>
      <c r="AA306" s="3" t="s">
        <v>861</v>
      </c>
      <c r="AB306" s="11" t="n">
        <v>46127</v>
      </c>
    </row>
    <row r="307" customFormat="false" ht="15" hidden="false" customHeight="false" outlineLevel="0" collapsed="false">
      <c r="A307" s="3" t="s">
        <v>1051</v>
      </c>
      <c r="B307" s="3" t="s">
        <v>378</v>
      </c>
      <c r="C307" s="3" t="s">
        <v>318</v>
      </c>
      <c r="D307" s="3" t="s">
        <v>379</v>
      </c>
      <c r="E307" s="3" t="s">
        <v>1052</v>
      </c>
      <c r="F307" s="3" t="s">
        <v>622</v>
      </c>
      <c r="G307" s="3" t="s">
        <v>52</v>
      </c>
      <c r="H307" s="3" t="s">
        <v>623</v>
      </c>
      <c r="I307" s="3" t="s">
        <v>1053</v>
      </c>
      <c r="M307" s="8" t="n">
        <v>143591</v>
      </c>
      <c r="P307" s="9" t="n">
        <v>38</v>
      </c>
      <c r="Q307" s="9" t="n">
        <v>26.1</v>
      </c>
      <c r="R307" s="9" t="n">
        <v>1</v>
      </c>
      <c r="S307" s="8" t="n">
        <v>369311</v>
      </c>
      <c r="T307" s="10" t="n">
        <v>53.8</v>
      </c>
      <c r="U307" s="9" t="n">
        <v>6</v>
      </c>
      <c r="V307" s="3" t="s">
        <v>55</v>
      </c>
      <c r="W307" s="9" t="n">
        <v>1</v>
      </c>
      <c r="Z307" s="3" t="s">
        <v>56</v>
      </c>
      <c r="AA307" s="3" t="s">
        <v>861</v>
      </c>
      <c r="AB307" s="11" t="n">
        <v>46127</v>
      </c>
    </row>
    <row r="308" customFormat="false" ht="15" hidden="false" customHeight="false" outlineLevel="0" collapsed="false">
      <c r="A308" s="3" t="s">
        <v>1054</v>
      </c>
      <c r="B308" s="3" t="s">
        <v>378</v>
      </c>
      <c r="C308" s="3" t="s">
        <v>322</v>
      </c>
      <c r="D308" s="3" t="s">
        <v>391</v>
      </c>
      <c r="E308" s="3" t="s">
        <v>1055</v>
      </c>
      <c r="F308" s="3" t="s">
        <v>622</v>
      </c>
      <c r="G308" s="3" t="s">
        <v>52</v>
      </c>
      <c r="H308" s="3" t="s">
        <v>623</v>
      </c>
      <c r="I308" s="3" t="s">
        <v>1056</v>
      </c>
      <c r="M308" s="8" t="n">
        <v>493590</v>
      </c>
      <c r="P308" s="9" t="n">
        <v>77</v>
      </c>
      <c r="Q308" s="9" t="n">
        <v>14.7</v>
      </c>
      <c r="R308" s="9" t="n">
        <v>1</v>
      </c>
      <c r="S308" s="8" t="n">
        <v>725992</v>
      </c>
      <c r="T308" s="10" t="n">
        <v>27.1</v>
      </c>
      <c r="U308" s="9" t="n">
        <v>1</v>
      </c>
      <c r="V308" s="3" t="s">
        <v>83</v>
      </c>
      <c r="W308" s="9" t="n">
        <v>1</v>
      </c>
      <c r="Z308" s="3" t="s">
        <v>56</v>
      </c>
      <c r="AA308" s="3" t="s">
        <v>861</v>
      </c>
      <c r="AB308" s="11" t="n">
        <v>46127</v>
      </c>
    </row>
    <row r="309" customFormat="false" ht="15" hidden="false" customHeight="false" outlineLevel="0" collapsed="false">
      <c r="A309" s="3" t="s">
        <v>1057</v>
      </c>
      <c r="B309" s="3" t="s">
        <v>378</v>
      </c>
      <c r="C309" s="3" t="s">
        <v>326</v>
      </c>
      <c r="D309" s="3" t="s">
        <v>384</v>
      </c>
      <c r="E309" s="3" t="s">
        <v>1058</v>
      </c>
      <c r="F309" s="3" t="s">
        <v>622</v>
      </c>
      <c r="G309" s="3" t="s">
        <v>52</v>
      </c>
      <c r="H309" s="3" t="s">
        <v>623</v>
      </c>
      <c r="I309" s="3" t="s">
        <v>1059</v>
      </c>
      <c r="M309" s="8" t="n">
        <v>441876</v>
      </c>
      <c r="P309" s="9" t="n">
        <v>61</v>
      </c>
      <c r="Q309" s="9" t="n">
        <v>5.4</v>
      </c>
      <c r="R309" s="9" t="n">
        <v>1</v>
      </c>
      <c r="S309" s="8" t="n">
        <v>77461</v>
      </c>
      <c r="T309" s="10" t="n">
        <v>49.1</v>
      </c>
      <c r="U309" s="9" t="n">
        <v>10</v>
      </c>
      <c r="V309" s="3" t="s">
        <v>92</v>
      </c>
      <c r="W309" s="9" t="n">
        <v>1</v>
      </c>
      <c r="Z309" s="3" t="s">
        <v>56</v>
      </c>
      <c r="AA309" s="3" t="s">
        <v>861</v>
      </c>
      <c r="AB309" s="11" t="n">
        <v>46127</v>
      </c>
    </row>
    <row r="310" customFormat="false" ht="15" hidden="false" customHeight="false" outlineLevel="0" collapsed="false">
      <c r="A310" s="3" t="s">
        <v>1060</v>
      </c>
      <c r="B310" s="3" t="s">
        <v>378</v>
      </c>
      <c r="C310" s="3" t="s">
        <v>330</v>
      </c>
      <c r="D310" s="3" t="s">
        <v>391</v>
      </c>
      <c r="E310" s="3" t="s">
        <v>1061</v>
      </c>
      <c r="F310" s="3" t="s">
        <v>622</v>
      </c>
      <c r="G310" s="3" t="s">
        <v>52</v>
      </c>
      <c r="H310" s="3" t="s">
        <v>623</v>
      </c>
      <c r="I310" s="3" t="s">
        <v>1062</v>
      </c>
      <c r="M310" s="8" t="n">
        <v>193947</v>
      </c>
      <c r="P310" s="9" t="n">
        <v>74</v>
      </c>
      <c r="Q310" s="9" t="n">
        <v>18.4</v>
      </c>
      <c r="R310" s="9" t="n">
        <v>1</v>
      </c>
      <c r="S310" s="8" t="n">
        <v>213383</v>
      </c>
      <c r="T310" s="10" t="n">
        <v>39</v>
      </c>
      <c r="U310" s="9" t="n">
        <v>8</v>
      </c>
      <c r="V310" s="3" t="s">
        <v>62</v>
      </c>
      <c r="W310" s="9" t="n">
        <v>1</v>
      </c>
      <c r="Z310" s="3" t="s">
        <v>56</v>
      </c>
      <c r="AA310" s="3" t="s">
        <v>861</v>
      </c>
      <c r="AB310" s="11" t="n">
        <v>46127</v>
      </c>
    </row>
    <row r="311" customFormat="false" ht="15" hidden="false" customHeight="false" outlineLevel="0" collapsed="false">
      <c r="A311" s="3" t="s">
        <v>1063</v>
      </c>
      <c r="B311" s="3" t="s">
        <v>378</v>
      </c>
      <c r="C311" s="3" t="s">
        <v>334</v>
      </c>
      <c r="D311" s="3" t="s">
        <v>379</v>
      </c>
      <c r="E311" s="3" t="s">
        <v>1064</v>
      </c>
      <c r="F311" s="3" t="s">
        <v>622</v>
      </c>
      <c r="G311" s="3" t="s">
        <v>52</v>
      </c>
      <c r="H311" s="3" t="s">
        <v>623</v>
      </c>
      <c r="I311" s="3" t="s">
        <v>1065</v>
      </c>
      <c r="M311" s="8" t="n">
        <v>181825</v>
      </c>
      <c r="P311" s="9" t="n">
        <v>43</v>
      </c>
      <c r="Q311" s="9" t="n">
        <v>9.3</v>
      </c>
      <c r="R311" s="9" t="n">
        <v>1</v>
      </c>
      <c r="S311" s="8" t="n">
        <v>589051</v>
      </c>
      <c r="T311" s="10" t="n">
        <v>59.4</v>
      </c>
      <c r="U311" s="9" t="n">
        <v>3</v>
      </c>
      <c r="V311" s="3" t="s">
        <v>92</v>
      </c>
      <c r="W311" s="9" t="n">
        <v>1</v>
      </c>
      <c r="Z311" s="3" t="s">
        <v>56</v>
      </c>
      <c r="AA311" s="3" t="s">
        <v>861</v>
      </c>
      <c r="AB311" s="11" t="n">
        <v>46127</v>
      </c>
    </row>
    <row r="312" customFormat="false" ht="15" hidden="false" customHeight="false" outlineLevel="0" collapsed="false">
      <c r="A312" s="3" t="s">
        <v>1066</v>
      </c>
      <c r="B312" s="3" t="s">
        <v>378</v>
      </c>
      <c r="C312" s="3" t="s">
        <v>338</v>
      </c>
      <c r="D312" s="3" t="s">
        <v>384</v>
      </c>
      <c r="E312" s="3" t="s">
        <v>1067</v>
      </c>
      <c r="F312" s="3" t="s">
        <v>622</v>
      </c>
      <c r="G312" s="3" t="s">
        <v>52</v>
      </c>
      <c r="H312" s="3" t="s">
        <v>623</v>
      </c>
      <c r="I312" s="3" t="s">
        <v>1068</v>
      </c>
      <c r="M312" s="8" t="n">
        <v>233828</v>
      </c>
      <c r="P312" s="9" t="n">
        <v>56</v>
      </c>
      <c r="Q312" s="9" t="n">
        <v>19</v>
      </c>
      <c r="R312" s="9" t="n">
        <v>1</v>
      </c>
      <c r="S312" s="8" t="n">
        <v>1106583</v>
      </c>
      <c r="T312" s="10" t="n">
        <v>91.4</v>
      </c>
      <c r="U312" s="9" t="n">
        <v>6</v>
      </c>
      <c r="V312" s="3" t="s">
        <v>62</v>
      </c>
      <c r="W312" s="9" t="n">
        <v>1</v>
      </c>
      <c r="Z312" s="3" t="s">
        <v>56</v>
      </c>
      <c r="AA312" s="3" t="s">
        <v>861</v>
      </c>
      <c r="AB312" s="11" t="n">
        <v>46127</v>
      </c>
    </row>
    <row r="313" customFormat="false" ht="15" hidden="false" customHeight="false" outlineLevel="0" collapsed="false">
      <c r="A313" s="3" t="s">
        <v>1069</v>
      </c>
      <c r="B313" s="3" t="s">
        <v>378</v>
      </c>
      <c r="C313" s="3" t="s">
        <v>342</v>
      </c>
      <c r="D313" s="3" t="s">
        <v>379</v>
      </c>
      <c r="E313" s="3" t="s">
        <v>1070</v>
      </c>
      <c r="F313" s="3" t="s">
        <v>622</v>
      </c>
      <c r="G313" s="3" t="s">
        <v>52</v>
      </c>
      <c r="H313" s="3" t="s">
        <v>623</v>
      </c>
      <c r="I313" s="3" t="s">
        <v>1071</v>
      </c>
      <c r="M313" s="8" t="n">
        <v>179234</v>
      </c>
      <c r="P313" s="9" t="n">
        <v>75</v>
      </c>
      <c r="Q313" s="9" t="n">
        <v>9.6</v>
      </c>
      <c r="R313" s="9" t="n">
        <v>1</v>
      </c>
      <c r="S313" s="8" t="n">
        <v>1169887</v>
      </c>
      <c r="T313" s="10" t="n">
        <v>79.3</v>
      </c>
      <c r="U313" s="9" t="n">
        <v>9</v>
      </c>
      <c r="V313" s="3" t="s">
        <v>83</v>
      </c>
      <c r="W313" s="9" t="n">
        <v>1</v>
      </c>
      <c r="Z313" s="3" t="s">
        <v>56</v>
      </c>
      <c r="AA313" s="3" t="s">
        <v>861</v>
      </c>
      <c r="AB313" s="11" t="n">
        <v>46127</v>
      </c>
    </row>
    <row r="314" customFormat="false" ht="15" hidden="false" customHeight="false" outlineLevel="0" collapsed="false">
      <c r="A314" s="3" t="s">
        <v>1072</v>
      </c>
      <c r="B314" s="3" t="s">
        <v>378</v>
      </c>
      <c r="C314" s="3" t="s">
        <v>346</v>
      </c>
      <c r="D314" s="3" t="s">
        <v>379</v>
      </c>
      <c r="E314" s="3" t="s">
        <v>1073</v>
      </c>
      <c r="F314" s="3" t="s">
        <v>622</v>
      </c>
      <c r="G314" s="3" t="s">
        <v>52</v>
      </c>
      <c r="H314" s="3" t="s">
        <v>623</v>
      </c>
      <c r="I314" s="3" t="s">
        <v>1074</v>
      </c>
      <c r="M314" s="8" t="n">
        <v>611843</v>
      </c>
      <c r="P314" s="9" t="n">
        <v>67</v>
      </c>
      <c r="Q314" s="9" t="n">
        <v>25.8</v>
      </c>
      <c r="R314" s="9" t="n">
        <v>1</v>
      </c>
      <c r="S314" s="8" t="n">
        <v>1039063</v>
      </c>
      <c r="T314" s="10" t="n">
        <v>84.1</v>
      </c>
      <c r="U314" s="9" t="n">
        <v>6</v>
      </c>
      <c r="V314" s="3" t="s">
        <v>92</v>
      </c>
      <c r="W314" s="9" t="n">
        <v>1</v>
      </c>
      <c r="Z314" s="3" t="s">
        <v>56</v>
      </c>
      <c r="AA314" s="3" t="s">
        <v>861</v>
      </c>
      <c r="AB314" s="11" t="n">
        <v>46127</v>
      </c>
    </row>
    <row r="315" customFormat="false" ht="15" hidden="false" customHeight="false" outlineLevel="0" collapsed="false">
      <c r="A315" s="3" t="s">
        <v>1075</v>
      </c>
      <c r="B315" s="3" t="s">
        <v>378</v>
      </c>
      <c r="C315" s="3" t="s">
        <v>350</v>
      </c>
      <c r="D315" s="3" t="s">
        <v>379</v>
      </c>
      <c r="E315" s="3" t="s">
        <v>1076</v>
      </c>
      <c r="F315" s="3" t="s">
        <v>622</v>
      </c>
      <c r="G315" s="3" t="s">
        <v>52</v>
      </c>
      <c r="H315" s="3" t="s">
        <v>623</v>
      </c>
      <c r="I315" s="3" t="s">
        <v>1077</v>
      </c>
      <c r="M315" s="8" t="n">
        <v>435438</v>
      </c>
      <c r="P315" s="9" t="n">
        <v>61</v>
      </c>
      <c r="Q315" s="9" t="n">
        <v>15.7</v>
      </c>
      <c r="R315" s="9" t="n">
        <v>1</v>
      </c>
      <c r="S315" s="8" t="n">
        <v>122033</v>
      </c>
      <c r="T315" s="10" t="n">
        <v>20.6</v>
      </c>
      <c r="U315" s="9" t="n">
        <v>2</v>
      </c>
      <c r="V315" s="3" t="s">
        <v>83</v>
      </c>
      <c r="W315" s="9" t="n">
        <v>1</v>
      </c>
      <c r="Z315" s="3" t="s">
        <v>56</v>
      </c>
      <c r="AA315" s="3" t="s">
        <v>861</v>
      </c>
      <c r="AB315" s="11" t="n">
        <v>46127</v>
      </c>
    </row>
    <row r="316" customFormat="false" ht="15" hidden="false" customHeight="false" outlineLevel="0" collapsed="false">
      <c r="A316" s="3" t="s">
        <v>1078</v>
      </c>
      <c r="B316" s="3" t="s">
        <v>378</v>
      </c>
      <c r="C316" s="3" t="s">
        <v>354</v>
      </c>
      <c r="D316" s="3" t="s">
        <v>384</v>
      </c>
      <c r="E316" s="3" t="s">
        <v>1079</v>
      </c>
      <c r="F316" s="3" t="s">
        <v>622</v>
      </c>
      <c r="G316" s="3" t="s">
        <v>52</v>
      </c>
      <c r="H316" s="3" t="s">
        <v>623</v>
      </c>
      <c r="I316" s="3" t="s">
        <v>1080</v>
      </c>
      <c r="M316" s="8" t="n">
        <v>463006</v>
      </c>
      <c r="P316" s="9" t="n">
        <v>71</v>
      </c>
      <c r="Q316" s="9" t="n">
        <v>4.3</v>
      </c>
      <c r="R316" s="9" t="n">
        <v>1</v>
      </c>
      <c r="S316" s="8" t="n">
        <v>1163197</v>
      </c>
      <c r="T316" s="10" t="n">
        <v>21.3</v>
      </c>
      <c r="U316" s="9" t="n">
        <v>9</v>
      </c>
      <c r="V316" s="3" t="s">
        <v>55</v>
      </c>
      <c r="W316" s="9" t="n">
        <v>1</v>
      </c>
      <c r="Z316" s="3" t="s">
        <v>56</v>
      </c>
      <c r="AA316" s="3" t="s">
        <v>861</v>
      </c>
      <c r="AB316" s="11" t="n">
        <v>46127</v>
      </c>
    </row>
    <row r="317" customFormat="false" ht="15" hidden="false" customHeight="false" outlineLevel="0" collapsed="false">
      <c r="A317" s="3" t="s">
        <v>1081</v>
      </c>
      <c r="B317" s="3" t="s">
        <v>378</v>
      </c>
      <c r="C317" s="3" t="s">
        <v>358</v>
      </c>
      <c r="D317" s="3" t="s">
        <v>379</v>
      </c>
      <c r="E317" s="3" t="s">
        <v>1082</v>
      </c>
      <c r="F317" s="3" t="s">
        <v>622</v>
      </c>
      <c r="G317" s="3" t="s">
        <v>52</v>
      </c>
      <c r="H317" s="3" t="s">
        <v>623</v>
      </c>
      <c r="I317" s="3" t="s">
        <v>1083</v>
      </c>
      <c r="M317" s="8" t="n">
        <v>531730</v>
      </c>
      <c r="P317" s="9" t="n">
        <v>72</v>
      </c>
      <c r="Q317" s="9" t="n">
        <v>22.7</v>
      </c>
      <c r="R317" s="9" t="n">
        <v>1</v>
      </c>
      <c r="S317" s="8" t="n">
        <v>557588</v>
      </c>
      <c r="T317" s="10" t="n">
        <v>59.8</v>
      </c>
      <c r="U317" s="9" t="n">
        <v>9</v>
      </c>
      <c r="V317" s="3" t="s">
        <v>92</v>
      </c>
      <c r="W317" s="9" t="n">
        <v>1</v>
      </c>
      <c r="Z317" s="3" t="s">
        <v>56</v>
      </c>
      <c r="AA317" s="3" t="s">
        <v>861</v>
      </c>
      <c r="AB317" s="11" t="n">
        <v>46127</v>
      </c>
    </row>
    <row r="318" customFormat="false" ht="15" hidden="false" customHeight="false" outlineLevel="0" collapsed="false">
      <c r="A318" s="3" t="s">
        <v>1084</v>
      </c>
      <c r="B318" s="3" t="s">
        <v>378</v>
      </c>
      <c r="C318" s="3" t="s">
        <v>362</v>
      </c>
      <c r="D318" s="3" t="s">
        <v>384</v>
      </c>
      <c r="E318" s="3" t="s">
        <v>1085</v>
      </c>
      <c r="F318" s="3" t="s">
        <v>622</v>
      </c>
      <c r="G318" s="3" t="s">
        <v>52</v>
      </c>
      <c r="H318" s="3" t="s">
        <v>623</v>
      </c>
      <c r="I318" s="3" t="s">
        <v>1086</v>
      </c>
      <c r="M318" s="8" t="n">
        <v>276675</v>
      </c>
      <c r="P318" s="9" t="n">
        <v>51</v>
      </c>
      <c r="Q318" s="9" t="n">
        <v>28.3</v>
      </c>
      <c r="R318" s="9" t="n">
        <v>1</v>
      </c>
      <c r="S318" s="8" t="n">
        <v>369487</v>
      </c>
      <c r="T318" s="10" t="n">
        <v>41.5</v>
      </c>
      <c r="U318" s="9" t="n">
        <v>4</v>
      </c>
      <c r="V318" s="3" t="s">
        <v>55</v>
      </c>
      <c r="W318" s="9" t="n">
        <v>1</v>
      </c>
      <c r="Z318" s="3" t="s">
        <v>56</v>
      </c>
      <c r="AA318" s="3" t="s">
        <v>861</v>
      </c>
      <c r="AB318" s="11" t="n">
        <v>46127</v>
      </c>
    </row>
    <row r="319" customFormat="false" ht="15" hidden="false" customHeight="false" outlineLevel="0" collapsed="false">
      <c r="A319" s="3" t="s">
        <v>1087</v>
      </c>
      <c r="B319" s="3" t="s">
        <v>378</v>
      </c>
      <c r="C319" s="3" t="s">
        <v>366</v>
      </c>
      <c r="D319" s="3" t="s">
        <v>379</v>
      </c>
      <c r="E319" s="3" t="s">
        <v>1088</v>
      </c>
      <c r="F319" s="3" t="s">
        <v>622</v>
      </c>
      <c r="G319" s="3" t="s">
        <v>52</v>
      </c>
      <c r="H319" s="3" t="s">
        <v>623</v>
      </c>
      <c r="I319" s="3" t="s">
        <v>1089</v>
      </c>
      <c r="M319" s="8" t="n">
        <v>245523</v>
      </c>
      <c r="P319" s="9" t="n">
        <v>47</v>
      </c>
      <c r="Q319" s="9" t="n">
        <v>26.7</v>
      </c>
      <c r="R319" s="9" t="n">
        <v>2</v>
      </c>
      <c r="S319" s="8" t="n">
        <v>277734</v>
      </c>
      <c r="T319" s="10" t="n">
        <v>80.8</v>
      </c>
      <c r="U319" s="9" t="n">
        <v>6</v>
      </c>
      <c r="V319" s="3" t="s">
        <v>83</v>
      </c>
      <c r="W319" s="9" t="n">
        <v>1</v>
      </c>
      <c r="Z319" s="3" t="s">
        <v>56</v>
      </c>
      <c r="AA319" s="3" t="s">
        <v>861</v>
      </c>
      <c r="AB319" s="11" t="n">
        <v>46127</v>
      </c>
    </row>
    <row r="320" customFormat="false" ht="15" hidden="false" customHeight="false" outlineLevel="0" collapsed="false">
      <c r="A320" s="3" t="s">
        <v>1090</v>
      </c>
      <c r="B320" s="3" t="s">
        <v>378</v>
      </c>
      <c r="C320" s="3" t="s">
        <v>370</v>
      </c>
      <c r="D320" s="3" t="s">
        <v>379</v>
      </c>
      <c r="E320" s="3" t="s">
        <v>1091</v>
      </c>
      <c r="F320" s="3" t="s">
        <v>622</v>
      </c>
      <c r="G320" s="3" t="s">
        <v>52</v>
      </c>
      <c r="H320" s="3" t="s">
        <v>623</v>
      </c>
      <c r="I320" s="3" t="s">
        <v>1092</v>
      </c>
      <c r="M320" s="8" t="n">
        <v>477890</v>
      </c>
      <c r="P320" s="9" t="n">
        <v>59</v>
      </c>
      <c r="Q320" s="9" t="n">
        <v>8.8</v>
      </c>
      <c r="R320" s="9" t="n">
        <v>2</v>
      </c>
      <c r="S320" s="8" t="n">
        <v>583625</v>
      </c>
      <c r="T320" s="10" t="n">
        <v>53.3</v>
      </c>
      <c r="U320" s="9" t="n">
        <v>4</v>
      </c>
      <c r="V320" s="3" t="s">
        <v>55</v>
      </c>
      <c r="W320" s="9" t="n">
        <v>1</v>
      </c>
      <c r="Z320" s="3" t="s">
        <v>56</v>
      </c>
      <c r="AA320" s="3" t="s">
        <v>861</v>
      </c>
      <c r="AB320" s="11" t="n">
        <v>46127</v>
      </c>
    </row>
    <row r="321" customFormat="false" ht="15" hidden="false" customHeight="false" outlineLevel="0" collapsed="false">
      <c r="A321" s="3" t="s">
        <v>1093</v>
      </c>
      <c r="B321" s="3" t="s">
        <v>378</v>
      </c>
      <c r="C321" s="3" t="s">
        <v>374</v>
      </c>
      <c r="D321" s="3" t="s">
        <v>379</v>
      </c>
      <c r="E321" s="3" t="s">
        <v>1094</v>
      </c>
      <c r="F321" s="3" t="s">
        <v>622</v>
      </c>
      <c r="G321" s="3" t="s">
        <v>52</v>
      </c>
      <c r="H321" s="3" t="s">
        <v>623</v>
      </c>
      <c r="I321" s="3" t="s">
        <v>1095</v>
      </c>
      <c r="M321" s="8" t="n">
        <v>783986</v>
      </c>
      <c r="P321" s="9" t="n">
        <v>38</v>
      </c>
      <c r="Q321" s="9" t="n">
        <v>20.7</v>
      </c>
      <c r="R321" s="9" t="n">
        <v>2</v>
      </c>
      <c r="S321" s="8" t="n">
        <v>297903</v>
      </c>
      <c r="T321" s="10" t="n">
        <v>88.4</v>
      </c>
      <c r="U321" s="9" t="n">
        <v>2</v>
      </c>
      <c r="V321" s="3" t="s">
        <v>83</v>
      </c>
      <c r="W321" s="9" t="n">
        <v>1</v>
      </c>
      <c r="Z321" s="3" t="s">
        <v>56</v>
      </c>
      <c r="AA321" s="3" t="s">
        <v>861</v>
      </c>
      <c r="AB321" s="11" t="n">
        <v>46127</v>
      </c>
    </row>
    <row r="322" customFormat="false" ht="15" hidden="false" customHeight="false" outlineLevel="0" collapsed="false">
      <c r="A322" s="3" t="s">
        <v>1096</v>
      </c>
      <c r="B322" s="3" t="s">
        <v>48</v>
      </c>
      <c r="C322" s="3" t="s">
        <v>49</v>
      </c>
      <c r="E322" s="3" t="s">
        <v>1097</v>
      </c>
      <c r="F322" s="3" t="s">
        <v>1098</v>
      </c>
      <c r="G322" s="3" t="s">
        <v>52</v>
      </c>
      <c r="H322" s="3" t="s">
        <v>1099</v>
      </c>
      <c r="I322" s="3" t="s">
        <v>1100</v>
      </c>
      <c r="M322" s="8" t="n">
        <v>359038</v>
      </c>
      <c r="N322" s="8" t="n">
        <v>565433</v>
      </c>
      <c r="O322" s="9" t="n">
        <v>28.4</v>
      </c>
      <c r="P322" s="9" t="n">
        <v>71</v>
      </c>
      <c r="R322" s="9" t="n">
        <v>1</v>
      </c>
      <c r="T322" s="10" t="n">
        <v>38.2</v>
      </c>
      <c r="U322" s="9" t="n">
        <v>10</v>
      </c>
      <c r="V322" s="3" t="s">
        <v>92</v>
      </c>
      <c r="W322" s="9" t="n">
        <v>1</v>
      </c>
      <c r="Z322" s="3" t="s">
        <v>56</v>
      </c>
      <c r="AA322" s="3" t="s">
        <v>1101</v>
      </c>
      <c r="AB322" s="11" t="n">
        <v>46127</v>
      </c>
    </row>
    <row r="323" customFormat="false" ht="15" hidden="false" customHeight="false" outlineLevel="0" collapsed="false">
      <c r="A323" s="3" t="s">
        <v>1102</v>
      </c>
      <c r="B323" s="3" t="s">
        <v>48</v>
      </c>
      <c r="C323" s="3" t="s">
        <v>59</v>
      </c>
      <c r="E323" s="3" t="s">
        <v>1103</v>
      </c>
      <c r="F323" s="3" t="s">
        <v>1098</v>
      </c>
      <c r="G323" s="3" t="s">
        <v>52</v>
      </c>
      <c r="H323" s="3" t="s">
        <v>1099</v>
      </c>
      <c r="I323" s="3" t="s">
        <v>1104</v>
      </c>
      <c r="M323" s="8" t="n">
        <v>449075</v>
      </c>
      <c r="N323" s="8" t="n">
        <v>107328</v>
      </c>
      <c r="O323" s="9" t="n">
        <v>27.9</v>
      </c>
      <c r="P323" s="9" t="n">
        <v>63</v>
      </c>
      <c r="R323" s="9" t="n">
        <v>1</v>
      </c>
      <c r="T323" s="10" t="n">
        <v>60.7</v>
      </c>
      <c r="U323" s="9" t="n">
        <v>6</v>
      </c>
      <c r="V323" s="3" t="s">
        <v>92</v>
      </c>
      <c r="W323" s="9" t="n">
        <v>1</v>
      </c>
      <c r="Z323" s="3" t="s">
        <v>56</v>
      </c>
      <c r="AA323" s="3" t="s">
        <v>1101</v>
      </c>
      <c r="AB323" s="11" t="n">
        <v>46127</v>
      </c>
    </row>
    <row r="324" customFormat="false" ht="15" hidden="false" customHeight="false" outlineLevel="0" collapsed="false">
      <c r="A324" s="3" t="s">
        <v>1105</v>
      </c>
      <c r="B324" s="3" t="s">
        <v>48</v>
      </c>
      <c r="C324" s="3" t="s">
        <v>64</v>
      </c>
      <c r="E324" s="3" t="s">
        <v>1106</v>
      </c>
      <c r="F324" s="3" t="s">
        <v>1098</v>
      </c>
      <c r="G324" s="3" t="s">
        <v>52</v>
      </c>
      <c r="H324" s="3" t="s">
        <v>1099</v>
      </c>
      <c r="I324" s="3" t="s">
        <v>1107</v>
      </c>
      <c r="M324" s="8" t="n">
        <v>464224</v>
      </c>
      <c r="N324" s="8" t="n">
        <v>219676</v>
      </c>
      <c r="O324" s="9" t="n">
        <v>28.3</v>
      </c>
      <c r="P324" s="9" t="n">
        <v>63</v>
      </c>
      <c r="R324" s="9" t="n">
        <v>1</v>
      </c>
      <c r="T324" s="10" t="n">
        <v>88.1</v>
      </c>
      <c r="U324" s="9" t="n">
        <v>3</v>
      </c>
      <c r="V324" s="3" t="s">
        <v>83</v>
      </c>
      <c r="W324" s="9" t="n">
        <v>1</v>
      </c>
      <c r="Z324" s="3" t="s">
        <v>56</v>
      </c>
      <c r="AA324" s="3" t="s">
        <v>1101</v>
      </c>
      <c r="AB324" s="11" t="n">
        <v>46127</v>
      </c>
    </row>
    <row r="325" customFormat="false" ht="15" hidden="false" customHeight="false" outlineLevel="0" collapsed="false">
      <c r="A325" s="3" t="s">
        <v>1108</v>
      </c>
      <c r="B325" s="3" t="s">
        <v>48</v>
      </c>
      <c r="C325" s="3" t="s">
        <v>68</v>
      </c>
      <c r="E325" s="3" t="s">
        <v>1004</v>
      </c>
      <c r="F325" s="3" t="s">
        <v>1098</v>
      </c>
      <c r="G325" s="3" t="s">
        <v>52</v>
      </c>
      <c r="H325" s="3" t="s">
        <v>1099</v>
      </c>
      <c r="I325" s="3" t="s">
        <v>1109</v>
      </c>
      <c r="M325" s="8" t="n">
        <v>485458</v>
      </c>
      <c r="N325" s="8" t="n">
        <v>94786</v>
      </c>
      <c r="O325" s="9" t="n">
        <v>29.1</v>
      </c>
      <c r="P325" s="9" t="n">
        <v>38</v>
      </c>
      <c r="R325" s="9" t="n">
        <v>1</v>
      </c>
      <c r="T325" s="10" t="n">
        <v>70.2</v>
      </c>
      <c r="U325" s="9" t="n">
        <v>4</v>
      </c>
      <c r="V325" s="3" t="s">
        <v>55</v>
      </c>
      <c r="W325" s="9" t="n">
        <v>1</v>
      </c>
      <c r="Z325" s="3" t="s">
        <v>56</v>
      </c>
      <c r="AA325" s="3" t="s">
        <v>1101</v>
      </c>
      <c r="AB325" s="11" t="n">
        <v>46127</v>
      </c>
    </row>
    <row r="326" customFormat="false" ht="15" hidden="false" customHeight="false" outlineLevel="0" collapsed="false">
      <c r="A326" s="3" t="s">
        <v>1110</v>
      </c>
      <c r="B326" s="3" t="s">
        <v>48</v>
      </c>
      <c r="C326" s="3" t="s">
        <v>72</v>
      </c>
      <c r="E326" s="3" t="s">
        <v>1111</v>
      </c>
      <c r="F326" s="3" t="s">
        <v>1098</v>
      </c>
      <c r="G326" s="3" t="s">
        <v>52</v>
      </c>
      <c r="H326" s="3" t="s">
        <v>1099</v>
      </c>
      <c r="I326" s="3" t="s">
        <v>1112</v>
      </c>
      <c r="M326" s="8" t="n">
        <v>409768</v>
      </c>
      <c r="N326" s="8" t="n">
        <v>212731</v>
      </c>
      <c r="O326" s="9" t="n">
        <v>29.7</v>
      </c>
      <c r="P326" s="9" t="n">
        <v>64</v>
      </c>
      <c r="R326" s="9" t="n">
        <v>1</v>
      </c>
      <c r="T326" s="10" t="n">
        <v>60.7</v>
      </c>
      <c r="U326" s="9" t="n">
        <v>9</v>
      </c>
      <c r="V326" s="3" t="s">
        <v>83</v>
      </c>
      <c r="W326" s="9" t="n">
        <v>1</v>
      </c>
      <c r="Z326" s="3" t="s">
        <v>56</v>
      </c>
      <c r="AA326" s="3" t="s">
        <v>1101</v>
      </c>
      <c r="AB326" s="11" t="n">
        <v>46127</v>
      </c>
    </row>
    <row r="327" customFormat="false" ht="15" hidden="false" customHeight="false" outlineLevel="0" collapsed="false">
      <c r="A327" s="3" t="s">
        <v>1113</v>
      </c>
      <c r="B327" s="3" t="s">
        <v>48</v>
      </c>
      <c r="C327" s="3" t="s">
        <v>76</v>
      </c>
      <c r="E327" s="3" t="s">
        <v>1114</v>
      </c>
      <c r="F327" s="3" t="s">
        <v>1098</v>
      </c>
      <c r="G327" s="3" t="s">
        <v>52</v>
      </c>
      <c r="H327" s="3" t="s">
        <v>1099</v>
      </c>
      <c r="I327" s="3" t="s">
        <v>1115</v>
      </c>
      <c r="M327" s="8" t="n">
        <v>140981</v>
      </c>
      <c r="N327" s="8" t="n">
        <v>249369</v>
      </c>
      <c r="O327" s="9" t="n">
        <v>22.4</v>
      </c>
      <c r="P327" s="9" t="n">
        <v>45</v>
      </c>
      <c r="R327" s="9" t="n">
        <v>1</v>
      </c>
      <c r="T327" s="10" t="n">
        <v>70.9</v>
      </c>
      <c r="U327" s="9" t="n">
        <v>6</v>
      </c>
      <c r="V327" s="3" t="s">
        <v>55</v>
      </c>
      <c r="W327" s="9" t="n">
        <v>1</v>
      </c>
      <c r="Z327" s="3" t="s">
        <v>56</v>
      </c>
      <c r="AA327" s="3" t="s">
        <v>1101</v>
      </c>
      <c r="AB327" s="11" t="n">
        <v>46127</v>
      </c>
    </row>
    <row r="328" customFormat="false" ht="15" hidden="false" customHeight="false" outlineLevel="0" collapsed="false">
      <c r="A328" s="3" t="s">
        <v>1116</v>
      </c>
      <c r="B328" s="3" t="s">
        <v>48</v>
      </c>
      <c r="C328" s="3" t="s">
        <v>80</v>
      </c>
      <c r="E328" s="3" t="s">
        <v>1117</v>
      </c>
      <c r="F328" s="3" t="s">
        <v>1098</v>
      </c>
      <c r="G328" s="3" t="s">
        <v>52</v>
      </c>
      <c r="H328" s="3" t="s">
        <v>1099</v>
      </c>
      <c r="I328" s="3" t="s">
        <v>1118</v>
      </c>
      <c r="M328" s="8" t="n">
        <v>813947</v>
      </c>
      <c r="N328" s="8" t="n">
        <v>415135</v>
      </c>
      <c r="O328" s="9" t="n">
        <v>2.7</v>
      </c>
      <c r="P328" s="9" t="n">
        <v>60</v>
      </c>
      <c r="R328" s="9" t="n">
        <v>1</v>
      </c>
      <c r="T328" s="10" t="n">
        <v>80.8</v>
      </c>
      <c r="U328" s="9" t="n">
        <v>1</v>
      </c>
      <c r="V328" s="3" t="s">
        <v>55</v>
      </c>
      <c r="W328" s="9" t="n">
        <v>1</v>
      </c>
      <c r="Z328" s="3" t="s">
        <v>56</v>
      </c>
      <c r="AA328" s="3" t="s">
        <v>1101</v>
      </c>
      <c r="AB328" s="11" t="n">
        <v>46127</v>
      </c>
    </row>
    <row r="329" customFormat="false" ht="15" hidden="false" customHeight="false" outlineLevel="0" collapsed="false">
      <c r="A329" s="3" t="s">
        <v>1119</v>
      </c>
      <c r="B329" s="3" t="s">
        <v>48</v>
      </c>
      <c r="C329" s="3" t="s">
        <v>85</v>
      </c>
      <c r="E329" s="3" t="s">
        <v>1120</v>
      </c>
      <c r="F329" s="3" t="s">
        <v>1098</v>
      </c>
      <c r="G329" s="3" t="s">
        <v>52</v>
      </c>
      <c r="H329" s="3" t="s">
        <v>1099</v>
      </c>
      <c r="I329" s="3" t="s">
        <v>1121</v>
      </c>
      <c r="M329" s="8" t="n">
        <v>546081</v>
      </c>
      <c r="N329" s="8" t="n">
        <v>446092</v>
      </c>
      <c r="O329" s="9" t="n">
        <v>27.6</v>
      </c>
      <c r="P329" s="9" t="n">
        <v>61</v>
      </c>
      <c r="R329" s="9" t="n">
        <v>3</v>
      </c>
      <c r="T329" s="10" t="n">
        <v>36.5</v>
      </c>
      <c r="U329" s="9" t="n">
        <v>9</v>
      </c>
      <c r="V329" s="3" t="s">
        <v>55</v>
      </c>
      <c r="W329" s="9" t="n">
        <v>1</v>
      </c>
      <c r="Z329" s="3" t="s">
        <v>56</v>
      </c>
      <c r="AA329" s="3" t="s">
        <v>1101</v>
      </c>
      <c r="AB329" s="11" t="n">
        <v>46127</v>
      </c>
    </row>
    <row r="330" customFormat="false" ht="15" hidden="false" customHeight="false" outlineLevel="0" collapsed="false">
      <c r="A330" s="3" t="s">
        <v>1122</v>
      </c>
      <c r="B330" s="3" t="s">
        <v>48</v>
      </c>
      <c r="C330" s="3" t="s">
        <v>89</v>
      </c>
      <c r="E330" s="3" t="s">
        <v>1123</v>
      </c>
      <c r="F330" s="3" t="s">
        <v>1098</v>
      </c>
      <c r="G330" s="3" t="s">
        <v>52</v>
      </c>
      <c r="H330" s="3" t="s">
        <v>1099</v>
      </c>
      <c r="I330" s="3" t="s">
        <v>1124</v>
      </c>
      <c r="M330" s="8" t="n">
        <v>450373</v>
      </c>
      <c r="N330" s="8" t="n">
        <v>346989</v>
      </c>
      <c r="O330" s="9" t="n">
        <v>7</v>
      </c>
      <c r="P330" s="9" t="n">
        <v>77</v>
      </c>
      <c r="R330" s="9" t="n">
        <v>2</v>
      </c>
      <c r="T330" s="10" t="n">
        <v>47.1</v>
      </c>
      <c r="U330" s="9" t="n">
        <v>6</v>
      </c>
      <c r="V330" s="3" t="s">
        <v>83</v>
      </c>
      <c r="W330" s="9" t="n">
        <v>1</v>
      </c>
      <c r="Z330" s="3" t="s">
        <v>56</v>
      </c>
      <c r="AA330" s="3" t="s">
        <v>1101</v>
      </c>
      <c r="AB330" s="11" t="n">
        <v>46127</v>
      </c>
    </row>
    <row r="331" customFormat="false" ht="15" hidden="false" customHeight="false" outlineLevel="0" collapsed="false">
      <c r="A331" s="3" t="s">
        <v>1125</v>
      </c>
      <c r="B331" s="3" t="s">
        <v>48</v>
      </c>
      <c r="C331" s="3" t="s">
        <v>94</v>
      </c>
      <c r="E331" s="3" t="s">
        <v>1126</v>
      </c>
      <c r="F331" s="3" t="s">
        <v>1098</v>
      </c>
      <c r="G331" s="3" t="s">
        <v>52</v>
      </c>
      <c r="H331" s="3" t="s">
        <v>1099</v>
      </c>
      <c r="I331" s="3" t="s">
        <v>1127</v>
      </c>
      <c r="M331" s="8" t="n">
        <v>312149</v>
      </c>
      <c r="N331" s="8" t="n">
        <v>615291</v>
      </c>
      <c r="O331" s="9" t="n">
        <v>8.8</v>
      </c>
      <c r="P331" s="9" t="n">
        <v>61</v>
      </c>
      <c r="R331" s="9" t="n">
        <v>1</v>
      </c>
      <c r="T331" s="10" t="n">
        <v>94.1</v>
      </c>
      <c r="U331" s="9" t="n">
        <v>7</v>
      </c>
      <c r="V331" s="3" t="s">
        <v>55</v>
      </c>
      <c r="W331" s="9" t="n">
        <v>1</v>
      </c>
      <c r="Z331" s="3" t="s">
        <v>56</v>
      </c>
      <c r="AA331" s="3" t="s">
        <v>1101</v>
      </c>
      <c r="AB331" s="11" t="n">
        <v>46127</v>
      </c>
    </row>
    <row r="332" customFormat="false" ht="15" hidden="false" customHeight="false" outlineLevel="0" collapsed="false">
      <c r="A332" s="3" t="s">
        <v>1128</v>
      </c>
      <c r="B332" s="3" t="s">
        <v>48</v>
      </c>
      <c r="C332" s="3" t="s">
        <v>98</v>
      </c>
      <c r="E332" s="3" t="s">
        <v>1129</v>
      </c>
      <c r="F332" s="3" t="s">
        <v>1098</v>
      </c>
      <c r="G332" s="3" t="s">
        <v>52</v>
      </c>
      <c r="H332" s="3" t="s">
        <v>1099</v>
      </c>
      <c r="I332" s="3" t="s">
        <v>1130</v>
      </c>
      <c r="M332" s="8" t="n">
        <v>111286</v>
      </c>
      <c r="N332" s="8" t="n">
        <v>490689</v>
      </c>
      <c r="O332" s="9" t="n">
        <v>2.2</v>
      </c>
      <c r="P332" s="9" t="n">
        <v>75</v>
      </c>
      <c r="R332" s="9" t="n">
        <v>1</v>
      </c>
      <c r="T332" s="10" t="n">
        <v>63.5</v>
      </c>
      <c r="U332" s="9" t="n">
        <v>6</v>
      </c>
      <c r="V332" s="3" t="s">
        <v>55</v>
      </c>
      <c r="W332" s="9" t="n">
        <v>1</v>
      </c>
      <c r="Z332" s="3" t="s">
        <v>56</v>
      </c>
      <c r="AA332" s="3" t="s">
        <v>1101</v>
      </c>
      <c r="AB332" s="11" t="n">
        <v>46127</v>
      </c>
    </row>
    <row r="333" customFormat="false" ht="15" hidden="false" customHeight="false" outlineLevel="0" collapsed="false">
      <c r="A333" s="3" t="s">
        <v>1131</v>
      </c>
      <c r="B333" s="3" t="s">
        <v>48</v>
      </c>
      <c r="C333" s="3" t="s">
        <v>102</v>
      </c>
      <c r="E333" s="3" t="s">
        <v>1132</v>
      </c>
      <c r="F333" s="3" t="s">
        <v>1098</v>
      </c>
      <c r="G333" s="3" t="s">
        <v>52</v>
      </c>
      <c r="H333" s="3" t="s">
        <v>1099</v>
      </c>
      <c r="I333" s="3" t="s">
        <v>1133</v>
      </c>
      <c r="M333" s="8" t="n">
        <v>491137</v>
      </c>
      <c r="N333" s="8" t="n">
        <v>365731</v>
      </c>
      <c r="O333" s="9" t="n">
        <v>23.1</v>
      </c>
      <c r="P333" s="9" t="n">
        <v>66</v>
      </c>
      <c r="R333" s="9" t="n">
        <v>1</v>
      </c>
      <c r="T333" s="10" t="n">
        <v>75.5</v>
      </c>
      <c r="U333" s="9" t="n">
        <v>2</v>
      </c>
      <c r="V333" s="3" t="s">
        <v>55</v>
      </c>
      <c r="W333" s="9" t="n">
        <v>1</v>
      </c>
      <c r="Z333" s="3" t="s">
        <v>56</v>
      </c>
      <c r="AA333" s="3" t="s">
        <v>1101</v>
      </c>
      <c r="AB333" s="11" t="n">
        <v>46127</v>
      </c>
    </row>
    <row r="334" customFormat="false" ht="15" hidden="false" customHeight="false" outlineLevel="0" collapsed="false">
      <c r="A334" s="3" t="s">
        <v>1134</v>
      </c>
      <c r="B334" s="3" t="s">
        <v>48</v>
      </c>
      <c r="C334" s="3" t="s">
        <v>106</v>
      </c>
      <c r="E334" s="3" t="s">
        <v>1135</v>
      </c>
      <c r="F334" s="3" t="s">
        <v>1098</v>
      </c>
      <c r="G334" s="3" t="s">
        <v>52</v>
      </c>
      <c r="H334" s="3" t="s">
        <v>1099</v>
      </c>
      <c r="I334" s="3" t="s">
        <v>1136</v>
      </c>
      <c r="M334" s="8" t="n">
        <v>412775</v>
      </c>
      <c r="N334" s="8" t="n">
        <v>284443</v>
      </c>
      <c r="O334" s="9" t="n">
        <v>26.5</v>
      </c>
      <c r="P334" s="9" t="n">
        <v>74</v>
      </c>
      <c r="R334" s="9" t="n">
        <v>1</v>
      </c>
      <c r="T334" s="10" t="n">
        <v>50</v>
      </c>
      <c r="U334" s="9" t="n">
        <v>7</v>
      </c>
      <c r="V334" s="3" t="s">
        <v>55</v>
      </c>
      <c r="W334" s="9" t="n">
        <v>1</v>
      </c>
      <c r="Z334" s="3" t="s">
        <v>56</v>
      </c>
      <c r="AA334" s="3" t="s">
        <v>1101</v>
      </c>
      <c r="AB334" s="11" t="n">
        <v>46127</v>
      </c>
    </row>
    <row r="335" customFormat="false" ht="15" hidden="false" customHeight="false" outlineLevel="0" collapsed="false">
      <c r="A335" s="3" t="s">
        <v>1137</v>
      </c>
      <c r="B335" s="3" t="s">
        <v>48</v>
      </c>
      <c r="C335" s="3" t="s">
        <v>110</v>
      </c>
      <c r="E335" s="3" t="s">
        <v>1138</v>
      </c>
      <c r="F335" s="3" t="s">
        <v>1098</v>
      </c>
      <c r="G335" s="3" t="s">
        <v>52</v>
      </c>
      <c r="H335" s="3" t="s">
        <v>1099</v>
      </c>
      <c r="I335" s="3" t="s">
        <v>1139</v>
      </c>
      <c r="M335" s="8" t="n">
        <v>635311</v>
      </c>
      <c r="N335" s="8" t="n">
        <v>465774</v>
      </c>
      <c r="O335" s="9" t="n">
        <v>2.1</v>
      </c>
      <c r="P335" s="9" t="n">
        <v>72</v>
      </c>
      <c r="R335" s="9" t="n">
        <v>1</v>
      </c>
      <c r="T335" s="10" t="n">
        <v>59.8</v>
      </c>
      <c r="U335" s="9" t="n">
        <v>2</v>
      </c>
      <c r="V335" s="3" t="s">
        <v>62</v>
      </c>
      <c r="W335" s="9" t="n">
        <v>1</v>
      </c>
      <c r="Z335" s="3" t="s">
        <v>56</v>
      </c>
      <c r="AA335" s="3" t="s">
        <v>1101</v>
      </c>
      <c r="AB335" s="11" t="n">
        <v>46127</v>
      </c>
    </row>
    <row r="336" customFormat="false" ht="15" hidden="false" customHeight="false" outlineLevel="0" collapsed="false">
      <c r="A336" s="3" t="s">
        <v>1140</v>
      </c>
      <c r="B336" s="3" t="s">
        <v>48</v>
      </c>
      <c r="C336" s="3" t="s">
        <v>114</v>
      </c>
      <c r="E336" s="3" t="s">
        <v>1141</v>
      </c>
      <c r="F336" s="3" t="s">
        <v>1098</v>
      </c>
      <c r="G336" s="3" t="s">
        <v>52</v>
      </c>
      <c r="H336" s="3" t="s">
        <v>1099</v>
      </c>
      <c r="I336" s="3" t="s">
        <v>1142</v>
      </c>
      <c r="M336" s="8" t="n">
        <v>1192917</v>
      </c>
      <c r="N336" s="8" t="n">
        <v>960494</v>
      </c>
      <c r="O336" s="9" t="n">
        <v>7.8</v>
      </c>
      <c r="P336" s="9" t="n">
        <v>65</v>
      </c>
      <c r="R336" s="9" t="n">
        <v>1</v>
      </c>
      <c r="T336" s="10" t="n">
        <v>85.8</v>
      </c>
      <c r="U336" s="9" t="n">
        <v>2</v>
      </c>
      <c r="V336" s="3" t="s">
        <v>62</v>
      </c>
      <c r="W336" s="9" t="n">
        <v>1</v>
      </c>
      <c r="Z336" s="3" t="s">
        <v>56</v>
      </c>
      <c r="AA336" s="3" t="s">
        <v>1101</v>
      </c>
      <c r="AB336" s="11" t="n">
        <v>46127</v>
      </c>
    </row>
    <row r="337" customFormat="false" ht="15" hidden="false" customHeight="false" outlineLevel="0" collapsed="false">
      <c r="A337" s="3" t="s">
        <v>1143</v>
      </c>
      <c r="B337" s="3" t="s">
        <v>48</v>
      </c>
      <c r="C337" s="3" t="s">
        <v>118</v>
      </c>
      <c r="E337" s="3" t="s">
        <v>1144</v>
      </c>
      <c r="F337" s="3" t="s">
        <v>1098</v>
      </c>
      <c r="G337" s="3" t="s">
        <v>52</v>
      </c>
      <c r="H337" s="3" t="s">
        <v>1099</v>
      </c>
      <c r="I337" s="3" t="s">
        <v>1145</v>
      </c>
      <c r="M337" s="8" t="n">
        <v>673104</v>
      </c>
      <c r="N337" s="8" t="n">
        <v>99509</v>
      </c>
      <c r="O337" s="9" t="n">
        <v>10.5</v>
      </c>
      <c r="P337" s="9" t="n">
        <v>65</v>
      </c>
      <c r="R337" s="9" t="n">
        <v>1</v>
      </c>
      <c r="T337" s="10" t="n">
        <v>16.6</v>
      </c>
      <c r="U337" s="9" t="n">
        <v>9</v>
      </c>
      <c r="V337" s="3" t="s">
        <v>92</v>
      </c>
      <c r="W337" s="9" t="n">
        <v>1</v>
      </c>
      <c r="Z337" s="3" t="s">
        <v>56</v>
      </c>
      <c r="AA337" s="3" t="s">
        <v>1101</v>
      </c>
      <c r="AB337" s="11" t="n">
        <v>46127</v>
      </c>
    </row>
    <row r="338" customFormat="false" ht="15" hidden="false" customHeight="false" outlineLevel="0" collapsed="false">
      <c r="A338" s="3" t="s">
        <v>1146</v>
      </c>
      <c r="B338" s="3" t="s">
        <v>48</v>
      </c>
      <c r="C338" s="3" t="s">
        <v>122</v>
      </c>
      <c r="E338" s="3" t="s">
        <v>1147</v>
      </c>
      <c r="F338" s="3" t="s">
        <v>1098</v>
      </c>
      <c r="G338" s="3" t="s">
        <v>52</v>
      </c>
      <c r="H338" s="3" t="s">
        <v>1099</v>
      </c>
      <c r="I338" s="3" t="s">
        <v>1148</v>
      </c>
      <c r="M338" s="8" t="n">
        <v>565536</v>
      </c>
      <c r="N338" s="8" t="n">
        <v>250165</v>
      </c>
      <c r="O338" s="9" t="n">
        <v>14.2</v>
      </c>
      <c r="P338" s="9" t="n">
        <v>41</v>
      </c>
      <c r="R338" s="9" t="n">
        <v>1</v>
      </c>
      <c r="T338" s="10" t="n">
        <v>58.7</v>
      </c>
      <c r="U338" s="9" t="n">
        <v>10</v>
      </c>
      <c r="V338" s="3" t="s">
        <v>92</v>
      </c>
      <c r="W338" s="9" t="n">
        <v>1</v>
      </c>
      <c r="Z338" s="3" t="s">
        <v>56</v>
      </c>
      <c r="AA338" s="3" t="s">
        <v>1101</v>
      </c>
      <c r="AB338" s="11" t="n">
        <v>46127</v>
      </c>
    </row>
    <row r="339" customFormat="false" ht="15" hidden="false" customHeight="false" outlineLevel="0" collapsed="false">
      <c r="A339" s="3" t="s">
        <v>1149</v>
      </c>
      <c r="B339" s="3" t="s">
        <v>48</v>
      </c>
      <c r="C339" s="3" t="s">
        <v>126</v>
      </c>
      <c r="E339" s="3" t="s">
        <v>1150</v>
      </c>
      <c r="F339" s="3" t="s">
        <v>1098</v>
      </c>
      <c r="G339" s="3" t="s">
        <v>52</v>
      </c>
      <c r="H339" s="3" t="s">
        <v>1099</v>
      </c>
      <c r="I339" s="3" t="s">
        <v>1151</v>
      </c>
      <c r="M339" s="8" t="n">
        <v>825272</v>
      </c>
      <c r="N339" s="8" t="n">
        <v>261916</v>
      </c>
      <c r="O339" s="9" t="n">
        <v>7.7</v>
      </c>
      <c r="P339" s="9" t="n">
        <v>70</v>
      </c>
      <c r="R339" s="9" t="n">
        <v>1</v>
      </c>
      <c r="T339" s="10" t="n">
        <v>44.3</v>
      </c>
      <c r="U339" s="9" t="n">
        <v>3</v>
      </c>
      <c r="V339" s="3" t="s">
        <v>83</v>
      </c>
      <c r="W339" s="9" t="n">
        <v>1</v>
      </c>
      <c r="Z339" s="3" t="s">
        <v>56</v>
      </c>
      <c r="AA339" s="3" t="s">
        <v>1101</v>
      </c>
      <c r="AB339" s="11" t="n">
        <v>46127</v>
      </c>
    </row>
    <row r="340" customFormat="false" ht="15" hidden="false" customHeight="false" outlineLevel="0" collapsed="false">
      <c r="A340" s="3" t="s">
        <v>1152</v>
      </c>
      <c r="B340" s="3" t="s">
        <v>48</v>
      </c>
      <c r="C340" s="3" t="s">
        <v>130</v>
      </c>
      <c r="E340" s="3" t="s">
        <v>1153</v>
      </c>
      <c r="F340" s="3" t="s">
        <v>1098</v>
      </c>
      <c r="G340" s="3" t="s">
        <v>52</v>
      </c>
      <c r="H340" s="3" t="s">
        <v>1099</v>
      </c>
      <c r="I340" s="3" t="s">
        <v>1154</v>
      </c>
      <c r="M340" s="8" t="n">
        <v>354470</v>
      </c>
      <c r="N340" s="8" t="n">
        <v>437772</v>
      </c>
      <c r="O340" s="9" t="n">
        <v>14.5</v>
      </c>
      <c r="P340" s="9" t="n">
        <v>35</v>
      </c>
      <c r="R340" s="9" t="n">
        <v>2</v>
      </c>
      <c r="T340" s="10" t="n">
        <v>75.5</v>
      </c>
      <c r="U340" s="9" t="n">
        <v>3</v>
      </c>
      <c r="V340" s="3" t="s">
        <v>92</v>
      </c>
      <c r="W340" s="9" t="n">
        <v>1</v>
      </c>
      <c r="Z340" s="3" t="s">
        <v>56</v>
      </c>
      <c r="AA340" s="3" t="s">
        <v>1101</v>
      </c>
      <c r="AB340" s="11" t="n">
        <v>46127</v>
      </c>
    </row>
    <row r="341" customFormat="false" ht="15" hidden="false" customHeight="false" outlineLevel="0" collapsed="false">
      <c r="A341" s="3" t="s">
        <v>1155</v>
      </c>
      <c r="B341" s="3" t="s">
        <v>48</v>
      </c>
      <c r="C341" s="3" t="s">
        <v>134</v>
      </c>
      <c r="E341" s="3" t="s">
        <v>1156</v>
      </c>
      <c r="F341" s="3" t="s">
        <v>1098</v>
      </c>
      <c r="G341" s="3" t="s">
        <v>52</v>
      </c>
      <c r="H341" s="3" t="s">
        <v>1099</v>
      </c>
      <c r="I341" s="3" t="s">
        <v>1157</v>
      </c>
      <c r="M341" s="8" t="n">
        <v>189943</v>
      </c>
      <c r="N341" s="8" t="n">
        <v>477311</v>
      </c>
      <c r="O341" s="9" t="n">
        <v>6.2</v>
      </c>
      <c r="P341" s="9" t="n">
        <v>73</v>
      </c>
      <c r="R341" s="9" t="n">
        <v>1</v>
      </c>
      <c r="T341" s="10" t="n">
        <v>19.8</v>
      </c>
      <c r="U341" s="9" t="n">
        <v>3</v>
      </c>
      <c r="V341" s="3" t="s">
        <v>92</v>
      </c>
      <c r="W341" s="9" t="n">
        <v>1</v>
      </c>
      <c r="Z341" s="3" t="s">
        <v>56</v>
      </c>
      <c r="AA341" s="3" t="s">
        <v>1101</v>
      </c>
      <c r="AB341" s="11" t="n">
        <v>46127</v>
      </c>
    </row>
    <row r="342" customFormat="false" ht="15" hidden="false" customHeight="false" outlineLevel="0" collapsed="false">
      <c r="A342" s="3" t="s">
        <v>1158</v>
      </c>
      <c r="B342" s="3" t="s">
        <v>48</v>
      </c>
      <c r="C342" s="3" t="s">
        <v>138</v>
      </c>
      <c r="E342" s="3" t="s">
        <v>1159</v>
      </c>
      <c r="F342" s="3" t="s">
        <v>1098</v>
      </c>
      <c r="G342" s="3" t="s">
        <v>52</v>
      </c>
      <c r="H342" s="3" t="s">
        <v>1099</v>
      </c>
      <c r="I342" s="3" t="s">
        <v>1160</v>
      </c>
      <c r="M342" s="8" t="n">
        <v>745425</v>
      </c>
      <c r="N342" s="8" t="n">
        <v>105029</v>
      </c>
      <c r="O342" s="9" t="n">
        <v>5.5</v>
      </c>
      <c r="P342" s="9" t="n">
        <v>57</v>
      </c>
      <c r="R342" s="9" t="n">
        <v>1</v>
      </c>
      <c r="T342" s="10" t="n">
        <v>80.9</v>
      </c>
      <c r="U342" s="9" t="n">
        <v>5</v>
      </c>
      <c r="V342" s="3" t="s">
        <v>62</v>
      </c>
      <c r="W342" s="9" t="n">
        <v>1</v>
      </c>
      <c r="Z342" s="3" t="s">
        <v>56</v>
      </c>
      <c r="AA342" s="3" t="s">
        <v>1101</v>
      </c>
      <c r="AB342" s="11" t="n">
        <v>46127</v>
      </c>
    </row>
    <row r="343" customFormat="false" ht="15" hidden="false" customHeight="false" outlineLevel="0" collapsed="false">
      <c r="A343" s="3" t="s">
        <v>1161</v>
      </c>
      <c r="B343" s="3" t="s">
        <v>48</v>
      </c>
      <c r="C343" s="3" t="s">
        <v>142</v>
      </c>
      <c r="E343" s="3" t="s">
        <v>1162</v>
      </c>
      <c r="F343" s="3" t="s">
        <v>1098</v>
      </c>
      <c r="G343" s="3" t="s">
        <v>52</v>
      </c>
      <c r="H343" s="3" t="s">
        <v>1099</v>
      </c>
      <c r="I343" s="3" t="s">
        <v>1163</v>
      </c>
      <c r="M343" s="8" t="n">
        <v>747381</v>
      </c>
      <c r="N343" s="8" t="n">
        <v>331610</v>
      </c>
      <c r="O343" s="9" t="n">
        <v>3.4</v>
      </c>
      <c r="P343" s="9" t="n">
        <v>72</v>
      </c>
      <c r="R343" s="9" t="n">
        <v>1</v>
      </c>
      <c r="T343" s="10" t="n">
        <v>29.5</v>
      </c>
      <c r="U343" s="9" t="n">
        <v>2</v>
      </c>
      <c r="V343" s="3" t="s">
        <v>83</v>
      </c>
      <c r="W343" s="9" t="n">
        <v>1</v>
      </c>
      <c r="Z343" s="3" t="s">
        <v>56</v>
      </c>
      <c r="AA343" s="3" t="s">
        <v>1101</v>
      </c>
      <c r="AB343" s="11" t="n">
        <v>46127</v>
      </c>
    </row>
    <row r="344" customFormat="false" ht="15" hidden="false" customHeight="false" outlineLevel="0" collapsed="false">
      <c r="A344" s="3" t="s">
        <v>1164</v>
      </c>
      <c r="B344" s="3" t="s">
        <v>48</v>
      </c>
      <c r="C344" s="3" t="s">
        <v>146</v>
      </c>
      <c r="E344" s="3" t="s">
        <v>1165</v>
      </c>
      <c r="F344" s="3" t="s">
        <v>1098</v>
      </c>
      <c r="G344" s="3" t="s">
        <v>52</v>
      </c>
      <c r="H344" s="3" t="s">
        <v>1099</v>
      </c>
      <c r="I344" s="3" t="s">
        <v>1166</v>
      </c>
      <c r="M344" s="8" t="n">
        <v>340932</v>
      </c>
      <c r="N344" s="8" t="n">
        <v>269041</v>
      </c>
      <c r="O344" s="9" t="n">
        <v>11.4</v>
      </c>
      <c r="P344" s="9" t="n">
        <v>38</v>
      </c>
      <c r="R344" s="9" t="n">
        <v>1</v>
      </c>
      <c r="T344" s="10" t="n">
        <v>25.5</v>
      </c>
      <c r="U344" s="9" t="n">
        <v>7</v>
      </c>
      <c r="V344" s="3" t="s">
        <v>83</v>
      </c>
      <c r="W344" s="9" t="n">
        <v>1</v>
      </c>
      <c r="Z344" s="3" t="s">
        <v>56</v>
      </c>
      <c r="AA344" s="3" t="s">
        <v>1101</v>
      </c>
      <c r="AB344" s="11" t="n">
        <v>46127</v>
      </c>
    </row>
    <row r="345" customFormat="false" ht="15" hidden="false" customHeight="false" outlineLevel="0" collapsed="false">
      <c r="A345" s="3" t="s">
        <v>1167</v>
      </c>
      <c r="B345" s="3" t="s">
        <v>48</v>
      </c>
      <c r="C345" s="3" t="s">
        <v>150</v>
      </c>
      <c r="E345" s="3" t="s">
        <v>1168</v>
      </c>
      <c r="F345" s="3" t="s">
        <v>1098</v>
      </c>
      <c r="G345" s="3" t="s">
        <v>52</v>
      </c>
      <c r="H345" s="3" t="s">
        <v>1099</v>
      </c>
      <c r="I345" s="3" t="s">
        <v>1169</v>
      </c>
      <c r="M345" s="8" t="n">
        <v>329172</v>
      </c>
      <c r="N345" s="8" t="n">
        <v>426393</v>
      </c>
      <c r="O345" s="9" t="n">
        <v>29.1</v>
      </c>
      <c r="P345" s="9" t="n">
        <v>35</v>
      </c>
      <c r="R345" s="9" t="n">
        <v>1</v>
      </c>
      <c r="T345" s="10" t="n">
        <v>28.6</v>
      </c>
      <c r="U345" s="9" t="n">
        <v>2</v>
      </c>
      <c r="V345" s="3" t="s">
        <v>83</v>
      </c>
      <c r="W345" s="9" t="n">
        <v>1</v>
      </c>
      <c r="Z345" s="3" t="s">
        <v>56</v>
      </c>
      <c r="AA345" s="3" t="s">
        <v>1101</v>
      </c>
      <c r="AB345" s="11" t="n">
        <v>46127</v>
      </c>
    </row>
    <row r="346" customFormat="false" ht="15" hidden="false" customHeight="false" outlineLevel="0" collapsed="false">
      <c r="A346" s="3" t="s">
        <v>1170</v>
      </c>
      <c r="B346" s="3" t="s">
        <v>48</v>
      </c>
      <c r="C346" s="3" t="s">
        <v>154</v>
      </c>
      <c r="E346" s="3" t="s">
        <v>1171</v>
      </c>
      <c r="F346" s="3" t="s">
        <v>1098</v>
      </c>
      <c r="G346" s="3" t="s">
        <v>52</v>
      </c>
      <c r="H346" s="3" t="s">
        <v>1099</v>
      </c>
      <c r="I346" s="3" t="s">
        <v>1172</v>
      </c>
      <c r="M346" s="8" t="n">
        <v>457722</v>
      </c>
      <c r="N346" s="8" t="n">
        <v>324995</v>
      </c>
      <c r="O346" s="9" t="n">
        <v>1.2</v>
      </c>
      <c r="P346" s="9" t="n">
        <v>75</v>
      </c>
      <c r="R346" s="9" t="n">
        <v>1</v>
      </c>
      <c r="T346" s="10" t="n">
        <v>94.2</v>
      </c>
      <c r="U346" s="9" t="n">
        <v>4</v>
      </c>
      <c r="V346" s="3" t="s">
        <v>83</v>
      </c>
      <c r="W346" s="9" t="n">
        <v>1</v>
      </c>
      <c r="Z346" s="3" t="s">
        <v>56</v>
      </c>
      <c r="AA346" s="3" t="s">
        <v>1101</v>
      </c>
      <c r="AB346" s="11" t="n">
        <v>46127</v>
      </c>
    </row>
    <row r="347" customFormat="false" ht="15" hidden="false" customHeight="false" outlineLevel="0" collapsed="false">
      <c r="A347" s="3" t="s">
        <v>1173</v>
      </c>
      <c r="B347" s="3" t="s">
        <v>48</v>
      </c>
      <c r="C347" s="3" t="s">
        <v>158</v>
      </c>
      <c r="E347" s="3" t="s">
        <v>1174</v>
      </c>
      <c r="F347" s="3" t="s">
        <v>1098</v>
      </c>
      <c r="G347" s="3" t="s">
        <v>52</v>
      </c>
      <c r="H347" s="3" t="s">
        <v>1099</v>
      </c>
      <c r="I347" s="3" t="s">
        <v>1175</v>
      </c>
      <c r="M347" s="8" t="n">
        <v>557277</v>
      </c>
      <c r="N347" s="8" t="n">
        <v>451135</v>
      </c>
      <c r="O347" s="9" t="n">
        <v>15.6</v>
      </c>
      <c r="P347" s="9" t="n">
        <v>76</v>
      </c>
      <c r="R347" s="9" t="n">
        <v>1</v>
      </c>
      <c r="T347" s="10" t="n">
        <v>84.1</v>
      </c>
      <c r="U347" s="9" t="n">
        <v>2</v>
      </c>
      <c r="V347" s="3" t="s">
        <v>92</v>
      </c>
      <c r="W347" s="9" t="n">
        <v>1</v>
      </c>
      <c r="Z347" s="3" t="s">
        <v>56</v>
      </c>
      <c r="AA347" s="3" t="s">
        <v>1101</v>
      </c>
      <c r="AB347" s="11" t="n">
        <v>46127</v>
      </c>
    </row>
    <row r="348" customFormat="false" ht="15" hidden="false" customHeight="false" outlineLevel="0" collapsed="false">
      <c r="A348" s="3" t="s">
        <v>1176</v>
      </c>
      <c r="B348" s="3" t="s">
        <v>48</v>
      </c>
      <c r="C348" s="3" t="s">
        <v>162</v>
      </c>
      <c r="E348" s="3" t="s">
        <v>1177</v>
      </c>
      <c r="F348" s="3" t="s">
        <v>1098</v>
      </c>
      <c r="G348" s="3" t="s">
        <v>52</v>
      </c>
      <c r="H348" s="3" t="s">
        <v>1099</v>
      </c>
      <c r="I348" s="3" t="s">
        <v>1178</v>
      </c>
      <c r="M348" s="8" t="n">
        <v>741888</v>
      </c>
      <c r="N348" s="8" t="n">
        <v>222086</v>
      </c>
      <c r="O348" s="9" t="n">
        <v>13.9</v>
      </c>
      <c r="P348" s="9" t="n">
        <v>48</v>
      </c>
      <c r="R348" s="9" t="n">
        <v>1</v>
      </c>
      <c r="T348" s="10" t="n">
        <v>77.4</v>
      </c>
      <c r="U348" s="9" t="n">
        <v>8</v>
      </c>
      <c r="V348" s="3" t="s">
        <v>55</v>
      </c>
      <c r="W348" s="9" t="n">
        <v>1</v>
      </c>
      <c r="Z348" s="3" t="s">
        <v>56</v>
      </c>
      <c r="AA348" s="3" t="s">
        <v>1101</v>
      </c>
      <c r="AB348" s="11" t="n">
        <v>46127</v>
      </c>
    </row>
    <row r="349" customFormat="false" ht="15" hidden="false" customHeight="false" outlineLevel="0" collapsed="false">
      <c r="A349" s="3" t="s">
        <v>1179</v>
      </c>
      <c r="B349" s="3" t="s">
        <v>48</v>
      </c>
      <c r="C349" s="3" t="s">
        <v>166</v>
      </c>
      <c r="E349" s="3" t="s">
        <v>1180</v>
      </c>
      <c r="F349" s="3" t="s">
        <v>1098</v>
      </c>
      <c r="G349" s="3" t="s">
        <v>52</v>
      </c>
      <c r="H349" s="3" t="s">
        <v>1099</v>
      </c>
      <c r="I349" s="3" t="s">
        <v>1181</v>
      </c>
      <c r="M349" s="8" t="n">
        <v>611572</v>
      </c>
      <c r="N349" s="8" t="n">
        <v>555752</v>
      </c>
      <c r="O349" s="9" t="n">
        <v>9.4</v>
      </c>
      <c r="P349" s="9" t="n">
        <v>35</v>
      </c>
      <c r="R349" s="9" t="n">
        <v>1</v>
      </c>
      <c r="T349" s="10" t="n">
        <v>62.7</v>
      </c>
      <c r="U349" s="9" t="n">
        <v>3</v>
      </c>
      <c r="V349" s="3" t="s">
        <v>83</v>
      </c>
      <c r="W349" s="9" t="n">
        <v>1</v>
      </c>
      <c r="Z349" s="3" t="s">
        <v>56</v>
      </c>
      <c r="AA349" s="3" t="s">
        <v>1101</v>
      </c>
      <c r="AB349" s="11" t="n">
        <v>46127</v>
      </c>
    </row>
    <row r="350" customFormat="false" ht="15" hidden="false" customHeight="false" outlineLevel="0" collapsed="false">
      <c r="A350" s="3" t="s">
        <v>1182</v>
      </c>
      <c r="B350" s="3" t="s">
        <v>48</v>
      </c>
      <c r="C350" s="3" t="s">
        <v>170</v>
      </c>
      <c r="E350" s="3" t="s">
        <v>1183</v>
      </c>
      <c r="F350" s="3" t="s">
        <v>1098</v>
      </c>
      <c r="G350" s="3" t="s">
        <v>52</v>
      </c>
      <c r="H350" s="3" t="s">
        <v>1099</v>
      </c>
      <c r="I350" s="3" t="s">
        <v>1184</v>
      </c>
      <c r="M350" s="8" t="n">
        <v>634550</v>
      </c>
      <c r="N350" s="8" t="n">
        <v>301008</v>
      </c>
      <c r="O350" s="9" t="n">
        <v>7.6</v>
      </c>
      <c r="P350" s="9" t="n">
        <v>64</v>
      </c>
      <c r="R350" s="9" t="n">
        <v>1</v>
      </c>
      <c r="T350" s="10" t="n">
        <v>15.6</v>
      </c>
      <c r="U350" s="9" t="n">
        <v>4</v>
      </c>
      <c r="V350" s="3" t="s">
        <v>55</v>
      </c>
      <c r="W350" s="9" t="n">
        <v>1</v>
      </c>
      <c r="Z350" s="3" t="s">
        <v>56</v>
      </c>
      <c r="AA350" s="3" t="s">
        <v>1101</v>
      </c>
      <c r="AB350" s="11" t="n">
        <v>46127</v>
      </c>
    </row>
    <row r="351" customFormat="false" ht="15" hidden="false" customHeight="false" outlineLevel="0" collapsed="false">
      <c r="A351" s="3" t="s">
        <v>1185</v>
      </c>
      <c r="B351" s="3" t="s">
        <v>48</v>
      </c>
      <c r="C351" s="3" t="s">
        <v>174</v>
      </c>
      <c r="E351" s="3" t="s">
        <v>1186</v>
      </c>
      <c r="F351" s="3" t="s">
        <v>1098</v>
      </c>
      <c r="G351" s="3" t="s">
        <v>52</v>
      </c>
      <c r="H351" s="3" t="s">
        <v>1099</v>
      </c>
      <c r="I351" s="3" t="s">
        <v>1187</v>
      </c>
      <c r="M351" s="8" t="n">
        <v>317526</v>
      </c>
      <c r="N351" s="8" t="n">
        <v>193720</v>
      </c>
      <c r="O351" s="9" t="n">
        <v>25.7</v>
      </c>
      <c r="P351" s="9" t="n">
        <v>44</v>
      </c>
      <c r="R351" s="9" t="n">
        <v>2</v>
      </c>
      <c r="T351" s="10" t="n">
        <v>60.1</v>
      </c>
      <c r="U351" s="9" t="n">
        <v>7</v>
      </c>
      <c r="V351" s="3" t="s">
        <v>92</v>
      </c>
      <c r="W351" s="9" t="n">
        <v>1</v>
      </c>
      <c r="Z351" s="3" t="s">
        <v>56</v>
      </c>
      <c r="AA351" s="3" t="s">
        <v>1101</v>
      </c>
      <c r="AB351" s="11" t="n">
        <v>46127</v>
      </c>
    </row>
    <row r="352" customFormat="false" ht="15" hidden="false" customHeight="false" outlineLevel="0" collapsed="false">
      <c r="A352" s="3" t="s">
        <v>1188</v>
      </c>
      <c r="B352" s="3" t="s">
        <v>48</v>
      </c>
      <c r="C352" s="3" t="s">
        <v>178</v>
      </c>
      <c r="E352" s="3" t="s">
        <v>1189</v>
      </c>
      <c r="F352" s="3" t="s">
        <v>1098</v>
      </c>
      <c r="G352" s="3" t="s">
        <v>52</v>
      </c>
      <c r="H352" s="3" t="s">
        <v>1099</v>
      </c>
      <c r="I352" s="3" t="s">
        <v>1190</v>
      </c>
      <c r="M352" s="8" t="n">
        <v>190268</v>
      </c>
      <c r="N352" s="8" t="n">
        <v>218240</v>
      </c>
      <c r="O352" s="9" t="n">
        <v>18.9</v>
      </c>
      <c r="P352" s="9" t="n">
        <v>59</v>
      </c>
      <c r="R352" s="9" t="n">
        <v>1</v>
      </c>
      <c r="T352" s="10" t="n">
        <v>31.1</v>
      </c>
      <c r="U352" s="9" t="n">
        <v>3</v>
      </c>
      <c r="V352" s="3" t="s">
        <v>55</v>
      </c>
      <c r="W352" s="9" t="n">
        <v>1</v>
      </c>
      <c r="Z352" s="3" t="s">
        <v>56</v>
      </c>
      <c r="AA352" s="3" t="s">
        <v>1101</v>
      </c>
      <c r="AB352" s="11" t="n">
        <v>46127</v>
      </c>
    </row>
    <row r="353" customFormat="false" ht="15" hidden="false" customHeight="false" outlineLevel="0" collapsed="false">
      <c r="A353" s="3" t="s">
        <v>1191</v>
      </c>
      <c r="B353" s="3" t="s">
        <v>48</v>
      </c>
      <c r="C353" s="3" t="s">
        <v>182</v>
      </c>
      <c r="E353" s="3" t="s">
        <v>1192</v>
      </c>
      <c r="F353" s="3" t="s">
        <v>1098</v>
      </c>
      <c r="G353" s="3" t="s">
        <v>52</v>
      </c>
      <c r="H353" s="3" t="s">
        <v>1099</v>
      </c>
      <c r="I353" s="3" t="s">
        <v>1193</v>
      </c>
      <c r="M353" s="8" t="n">
        <v>530771</v>
      </c>
      <c r="N353" s="8" t="n">
        <v>309053</v>
      </c>
      <c r="O353" s="9" t="n">
        <v>11.8</v>
      </c>
      <c r="P353" s="9" t="n">
        <v>60</v>
      </c>
      <c r="R353" s="9" t="n">
        <v>2</v>
      </c>
      <c r="T353" s="10" t="n">
        <v>34.5</v>
      </c>
      <c r="U353" s="9" t="n">
        <v>1</v>
      </c>
      <c r="V353" s="3" t="s">
        <v>83</v>
      </c>
      <c r="W353" s="9" t="n">
        <v>1</v>
      </c>
      <c r="Z353" s="3" t="s">
        <v>56</v>
      </c>
      <c r="AA353" s="3" t="s">
        <v>1101</v>
      </c>
      <c r="AB353" s="11" t="n">
        <v>46127</v>
      </c>
    </row>
    <row r="354" customFormat="false" ht="15" hidden="false" customHeight="false" outlineLevel="0" collapsed="false">
      <c r="A354" s="3" t="s">
        <v>1194</v>
      </c>
      <c r="B354" s="3" t="s">
        <v>48</v>
      </c>
      <c r="C354" s="3" t="s">
        <v>186</v>
      </c>
      <c r="E354" s="3" t="s">
        <v>1195</v>
      </c>
      <c r="F354" s="3" t="s">
        <v>1098</v>
      </c>
      <c r="G354" s="3" t="s">
        <v>52</v>
      </c>
      <c r="H354" s="3" t="s">
        <v>1099</v>
      </c>
      <c r="I354" s="3" t="s">
        <v>1196</v>
      </c>
      <c r="M354" s="8" t="n">
        <v>245108</v>
      </c>
      <c r="N354" s="8" t="n">
        <v>273881</v>
      </c>
      <c r="O354" s="9" t="n">
        <v>11.9</v>
      </c>
      <c r="P354" s="9" t="n">
        <v>69</v>
      </c>
      <c r="R354" s="9" t="n">
        <v>1</v>
      </c>
      <c r="T354" s="10" t="n">
        <v>26.8</v>
      </c>
      <c r="U354" s="9" t="n">
        <v>10</v>
      </c>
      <c r="V354" s="3" t="s">
        <v>83</v>
      </c>
      <c r="W354" s="9" t="n">
        <v>1</v>
      </c>
      <c r="Z354" s="3" t="s">
        <v>56</v>
      </c>
      <c r="AA354" s="3" t="s">
        <v>1101</v>
      </c>
      <c r="AB354" s="11" t="n">
        <v>46127</v>
      </c>
    </row>
    <row r="355" customFormat="false" ht="15" hidden="false" customHeight="false" outlineLevel="0" collapsed="false">
      <c r="A355" s="3" t="s">
        <v>1197</v>
      </c>
      <c r="B355" s="3" t="s">
        <v>48</v>
      </c>
      <c r="C355" s="3" t="s">
        <v>190</v>
      </c>
      <c r="E355" s="3" t="s">
        <v>1198</v>
      </c>
      <c r="F355" s="3" t="s">
        <v>1098</v>
      </c>
      <c r="G355" s="3" t="s">
        <v>52</v>
      </c>
      <c r="H355" s="3" t="s">
        <v>1099</v>
      </c>
      <c r="I355" s="3" t="s">
        <v>1199</v>
      </c>
      <c r="M355" s="8" t="n">
        <v>169309</v>
      </c>
      <c r="N355" s="8" t="n">
        <v>188932</v>
      </c>
      <c r="O355" s="9" t="n">
        <v>11.1</v>
      </c>
      <c r="P355" s="9" t="n">
        <v>74</v>
      </c>
      <c r="R355" s="9" t="n">
        <v>1</v>
      </c>
      <c r="T355" s="10" t="n">
        <v>80</v>
      </c>
      <c r="U355" s="9" t="n">
        <v>4</v>
      </c>
      <c r="V355" s="3" t="s">
        <v>62</v>
      </c>
      <c r="W355" s="9" t="n">
        <v>1</v>
      </c>
      <c r="Z355" s="3" t="s">
        <v>56</v>
      </c>
      <c r="AA355" s="3" t="s">
        <v>1101</v>
      </c>
      <c r="AB355" s="11" t="n">
        <v>46127</v>
      </c>
    </row>
    <row r="356" customFormat="false" ht="15" hidden="false" customHeight="false" outlineLevel="0" collapsed="false">
      <c r="A356" s="3" t="s">
        <v>1200</v>
      </c>
      <c r="B356" s="3" t="s">
        <v>48</v>
      </c>
      <c r="C356" s="3" t="s">
        <v>194</v>
      </c>
      <c r="E356" s="3" t="s">
        <v>1201</v>
      </c>
      <c r="F356" s="3" t="s">
        <v>1098</v>
      </c>
      <c r="G356" s="3" t="s">
        <v>52</v>
      </c>
      <c r="H356" s="3" t="s">
        <v>1099</v>
      </c>
      <c r="I356" s="3" t="s">
        <v>1202</v>
      </c>
      <c r="M356" s="8" t="n">
        <v>677100</v>
      </c>
      <c r="N356" s="8" t="n">
        <v>459211</v>
      </c>
      <c r="O356" s="9" t="n">
        <v>27.6</v>
      </c>
      <c r="P356" s="9" t="n">
        <v>72</v>
      </c>
      <c r="R356" s="9" t="n">
        <v>1</v>
      </c>
      <c r="T356" s="10" t="n">
        <v>59.3</v>
      </c>
      <c r="U356" s="9" t="n">
        <v>7</v>
      </c>
      <c r="V356" s="3" t="s">
        <v>83</v>
      </c>
      <c r="W356" s="9" t="n">
        <v>1</v>
      </c>
      <c r="Z356" s="3" t="s">
        <v>56</v>
      </c>
      <c r="AA356" s="3" t="s">
        <v>1101</v>
      </c>
      <c r="AB356" s="11" t="n">
        <v>46127</v>
      </c>
    </row>
    <row r="357" customFormat="false" ht="15" hidden="false" customHeight="false" outlineLevel="0" collapsed="false">
      <c r="A357" s="3" t="s">
        <v>1203</v>
      </c>
      <c r="B357" s="3" t="s">
        <v>48</v>
      </c>
      <c r="C357" s="3" t="s">
        <v>198</v>
      </c>
      <c r="E357" s="3" t="s">
        <v>1204</v>
      </c>
      <c r="F357" s="3" t="s">
        <v>1098</v>
      </c>
      <c r="G357" s="3" t="s">
        <v>52</v>
      </c>
      <c r="H357" s="3" t="s">
        <v>1099</v>
      </c>
      <c r="I357" s="3" t="s">
        <v>1205</v>
      </c>
      <c r="M357" s="8" t="n">
        <v>423952</v>
      </c>
      <c r="N357" s="8" t="n">
        <v>152203</v>
      </c>
      <c r="O357" s="9" t="n">
        <v>3.2</v>
      </c>
      <c r="P357" s="9" t="n">
        <v>40</v>
      </c>
      <c r="R357" s="9" t="n">
        <v>1</v>
      </c>
      <c r="T357" s="10" t="n">
        <v>54.3</v>
      </c>
      <c r="U357" s="9" t="n">
        <v>2</v>
      </c>
      <c r="V357" s="3" t="s">
        <v>55</v>
      </c>
      <c r="W357" s="9" t="n">
        <v>1</v>
      </c>
      <c r="Z357" s="3" t="s">
        <v>56</v>
      </c>
      <c r="AA357" s="3" t="s">
        <v>1101</v>
      </c>
      <c r="AB357" s="11" t="n">
        <v>46127</v>
      </c>
    </row>
    <row r="358" customFormat="false" ht="15" hidden="false" customHeight="false" outlineLevel="0" collapsed="false">
      <c r="A358" s="3" t="s">
        <v>1206</v>
      </c>
      <c r="B358" s="3" t="s">
        <v>48</v>
      </c>
      <c r="C358" s="3" t="s">
        <v>202</v>
      </c>
      <c r="E358" s="3" t="s">
        <v>1207</v>
      </c>
      <c r="F358" s="3" t="s">
        <v>1098</v>
      </c>
      <c r="G358" s="3" t="s">
        <v>52</v>
      </c>
      <c r="H358" s="3" t="s">
        <v>1099</v>
      </c>
      <c r="I358" s="3" t="s">
        <v>1208</v>
      </c>
      <c r="M358" s="8" t="n">
        <v>300688</v>
      </c>
      <c r="N358" s="8" t="n">
        <v>346861</v>
      </c>
      <c r="O358" s="9" t="n">
        <v>22.4</v>
      </c>
      <c r="P358" s="9" t="n">
        <v>75</v>
      </c>
      <c r="R358" s="9" t="n">
        <v>1</v>
      </c>
      <c r="T358" s="10" t="n">
        <v>20.5</v>
      </c>
      <c r="U358" s="9" t="n">
        <v>4</v>
      </c>
      <c r="V358" s="3" t="s">
        <v>92</v>
      </c>
      <c r="W358" s="9" t="n">
        <v>1</v>
      </c>
      <c r="Z358" s="3" t="s">
        <v>56</v>
      </c>
      <c r="AA358" s="3" t="s">
        <v>1101</v>
      </c>
      <c r="AB358" s="11" t="n">
        <v>46127</v>
      </c>
    </row>
    <row r="359" customFormat="false" ht="15" hidden="false" customHeight="false" outlineLevel="0" collapsed="false">
      <c r="A359" s="3" t="s">
        <v>1209</v>
      </c>
      <c r="B359" s="3" t="s">
        <v>48</v>
      </c>
      <c r="C359" s="3" t="s">
        <v>206</v>
      </c>
      <c r="E359" s="3" t="s">
        <v>1210</v>
      </c>
      <c r="F359" s="3" t="s">
        <v>1098</v>
      </c>
      <c r="G359" s="3" t="s">
        <v>52</v>
      </c>
      <c r="H359" s="3" t="s">
        <v>1099</v>
      </c>
      <c r="I359" s="3" t="s">
        <v>1211</v>
      </c>
      <c r="M359" s="8" t="n">
        <v>158238</v>
      </c>
      <c r="N359" s="8" t="n">
        <v>229676</v>
      </c>
      <c r="O359" s="9" t="n">
        <v>13.3</v>
      </c>
      <c r="P359" s="9" t="n">
        <v>38</v>
      </c>
      <c r="R359" s="9" t="n">
        <v>1</v>
      </c>
      <c r="T359" s="10" t="n">
        <v>72.1</v>
      </c>
      <c r="U359" s="9" t="n">
        <v>2</v>
      </c>
      <c r="V359" s="3" t="s">
        <v>55</v>
      </c>
      <c r="W359" s="9" t="n">
        <v>1</v>
      </c>
      <c r="Z359" s="3" t="s">
        <v>56</v>
      </c>
      <c r="AA359" s="3" t="s">
        <v>1101</v>
      </c>
      <c r="AB359" s="11" t="n">
        <v>46127</v>
      </c>
    </row>
    <row r="360" customFormat="false" ht="15" hidden="false" customHeight="false" outlineLevel="0" collapsed="false">
      <c r="A360" s="3" t="s">
        <v>1212</v>
      </c>
      <c r="B360" s="3" t="s">
        <v>48</v>
      </c>
      <c r="C360" s="3" t="s">
        <v>210</v>
      </c>
      <c r="E360" s="3" t="s">
        <v>1213</v>
      </c>
      <c r="F360" s="3" t="s">
        <v>1098</v>
      </c>
      <c r="G360" s="3" t="s">
        <v>52</v>
      </c>
      <c r="H360" s="3" t="s">
        <v>1099</v>
      </c>
      <c r="I360" s="3" t="s">
        <v>1214</v>
      </c>
      <c r="M360" s="8" t="n">
        <v>455940</v>
      </c>
      <c r="N360" s="8" t="n">
        <v>230315</v>
      </c>
      <c r="O360" s="9" t="n">
        <v>11.3</v>
      </c>
      <c r="P360" s="9" t="n">
        <v>53</v>
      </c>
      <c r="R360" s="9" t="n">
        <v>1</v>
      </c>
      <c r="T360" s="10" t="n">
        <v>31.5</v>
      </c>
      <c r="U360" s="9" t="n">
        <v>3</v>
      </c>
      <c r="V360" s="3" t="s">
        <v>83</v>
      </c>
      <c r="W360" s="9" t="n">
        <v>1</v>
      </c>
      <c r="Z360" s="3" t="s">
        <v>56</v>
      </c>
      <c r="AA360" s="3" t="s">
        <v>1101</v>
      </c>
      <c r="AB360" s="11" t="n">
        <v>46127</v>
      </c>
    </row>
    <row r="361" customFormat="false" ht="15" hidden="false" customHeight="false" outlineLevel="0" collapsed="false">
      <c r="A361" s="3" t="s">
        <v>1215</v>
      </c>
      <c r="B361" s="3" t="s">
        <v>48</v>
      </c>
      <c r="C361" s="3" t="s">
        <v>214</v>
      </c>
      <c r="E361" s="3" t="s">
        <v>1216</v>
      </c>
      <c r="F361" s="3" t="s">
        <v>1098</v>
      </c>
      <c r="G361" s="3" t="s">
        <v>52</v>
      </c>
      <c r="H361" s="3" t="s">
        <v>1099</v>
      </c>
      <c r="I361" s="3" t="s">
        <v>1217</v>
      </c>
      <c r="M361" s="8" t="n">
        <v>418061</v>
      </c>
      <c r="N361" s="8" t="n">
        <v>262220</v>
      </c>
      <c r="O361" s="9" t="n">
        <v>13</v>
      </c>
      <c r="P361" s="9" t="n">
        <v>43</v>
      </c>
      <c r="R361" s="9" t="n">
        <v>3</v>
      </c>
      <c r="T361" s="10" t="n">
        <v>36.1</v>
      </c>
      <c r="U361" s="9" t="n">
        <v>10</v>
      </c>
      <c r="V361" s="3" t="s">
        <v>92</v>
      </c>
      <c r="W361" s="9" t="n">
        <v>1</v>
      </c>
      <c r="Z361" s="3" t="s">
        <v>56</v>
      </c>
      <c r="AA361" s="3" t="s">
        <v>1101</v>
      </c>
      <c r="AB361" s="11" t="n">
        <v>46127</v>
      </c>
    </row>
    <row r="362" customFormat="false" ht="15" hidden="false" customHeight="false" outlineLevel="0" collapsed="false">
      <c r="A362" s="3" t="s">
        <v>1218</v>
      </c>
      <c r="B362" s="3" t="s">
        <v>48</v>
      </c>
      <c r="C362" s="3" t="s">
        <v>218</v>
      </c>
      <c r="E362" s="3" t="s">
        <v>1219</v>
      </c>
      <c r="F362" s="3" t="s">
        <v>1098</v>
      </c>
      <c r="G362" s="3" t="s">
        <v>52</v>
      </c>
      <c r="H362" s="3" t="s">
        <v>1099</v>
      </c>
      <c r="I362" s="3" t="s">
        <v>1220</v>
      </c>
      <c r="M362" s="8" t="n">
        <v>936817</v>
      </c>
      <c r="N362" s="8" t="n">
        <v>125916</v>
      </c>
      <c r="O362" s="9" t="n">
        <v>27.7</v>
      </c>
      <c r="P362" s="9" t="n">
        <v>68</v>
      </c>
      <c r="R362" s="9" t="n">
        <v>1</v>
      </c>
      <c r="T362" s="10" t="n">
        <v>35.3</v>
      </c>
      <c r="U362" s="9" t="n">
        <v>4</v>
      </c>
      <c r="V362" s="3" t="s">
        <v>62</v>
      </c>
      <c r="W362" s="9" t="n">
        <v>1</v>
      </c>
      <c r="Z362" s="3" t="s">
        <v>56</v>
      </c>
      <c r="AA362" s="3" t="s">
        <v>1101</v>
      </c>
      <c r="AB362" s="11" t="n">
        <v>46127</v>
      </c>
    </row>
    <row r="363" customFormat="false" ht="15" hidden="false" customHeight="false" outlineLevel="0" collapsed="false">
      <c r="A363" s="3" t="s">
        <v>1221</v>
      </c>
      <c r="B363" s="3" t="s">
        <v>48</v>
      </c>
      <c r="C363" s="3" t="s">
        <v>222</v>
      </c>
      <c r="E363" s="3" t="s">
        <v>1222</v>
      </c>
      <c r="F363" s="3" t="s">
        <v>1098</v>
      </c>
      <c r="G363" s="3" t="s">
        <v>52</v>
      </c>
      <c r="H363" s="3" t="s">
        <v>1099</v>
      </c>
      <c r="I363" s="3" t="s">
        <v>1223</v>
      </c>
      <c r="M363" s="8" t="n">
        <v>769534</v>
      </c>
      <c r="N363" s="8" t="n">
        <v>318374</v>
      </c>
      <c r="O363" s="9" t="n">
        <v>5.5</v>
      </c>
      <c r="P363" s="9" t="n">
        <v>64</v>
      </c>
      <c r="R363" s="9" t="n">
        <v>1</v>
      </c>
      <c r="T363" s="10" t="n">
        <v>71.7</v>
      </c>
      <c r="U363" s="9" t="n">
        <v>4</v>
      </c>
      <c r="V363" s="3" t="s">
        <v>55</v>
      </c>
      <c r="W363" s="9" t="n">
        <v>1</v>
      </c>
      <c r="Z363" s="3" t="s">
        <v>56</v>
      </c>
      <c r="AA363" s="3" t="s">
        <v>1101</v>
      </c>
      <c r="AB363" s="11" t="n">
        <v>46127</v>
      </c>
    </row>
    <row r="364" customFormat="false" ht="15" hidden="false" customHeight="false" outlineLevel="0" collapsed="false">
      <c r="A364" s="3" t="s">
        <v>1224</v>
      </c>
      <c r="B364" s="3" t="s">
        <v>48</v>
      </c>
      <c r="C364" s="3" t="s">
        <v>226</v>
      </c>
      <c r="E364" s="3" t="s">
        <v>1225</v>
      </c>
      <c r="F364" s="3" t="s">
        <v>1098</v>
      </c>
      <c r="G364" s="3" t="s">
        <v>52</v>
      </c>
      <c r="H364" s="3" t="s">
        <v>1099</v>
      </c>
      <c r="I364" s="3" t="s">
        <v>1226</v>
      </c>
      <c r="M364" s="8" t="n">
        <v>652453</v>
      </c>
      <c r="N364" s="8" t="n">
        <v>200822</v>
      </c>
      <c r="O364" s="9" t="n">
        <v>24.2</v>
      </c>
      <c r="P364" s="9" t="n">
        <v>57</v>
      </c>
      <c r="R364" s="9" t="n">
        <v>1</v>
      </c>
      <c r="T364" s="10" t="n">
        <v>36</v>
      </c>
      <c r="U364" s="9" t="n">
        <v>6</v>
      </c>
      <c r="V364" s="3" t="s">
        <v>83</v>
      </c>
      <c r="W364" s="9" t="n">
        <v>1</v>
      </c>
      <c r="Z364" s="3" t="s">
        <v>56</v>
      </c>
      <c r="AA364" s="3" t="s">
        <v>1101</v>
      </c>
      <c r="AB364" s="11" t="n">
        <v>46127</v>
      </c>
    </row>
    <row r="365" customFormat="false" ht="15" hidden="false" customHeight="false" outlineLevel="0" collapsed="false">
      <c r="A365" s="3" t="s">
        <v>1227</v>
      </c>
      <c r="B365" s="3" t="s">
        <v>48</v>
      </c>
      <c r="C365" s="3" t="s">
        <v>230</v>
      </c>
      <c r="E365" s="3" t="s">
        <v>1228</v>
      </c>
      <c r="F365" s="3" t="s">
        <v>1098</v>
      </c>
      <c r="G365" s="3" t="s">
        <v>52</v>
      </c>
      <c r="H365" s="3" t="s">
        <v>1099</v>
      </c>
      <c r="I365" s="3" t="s">
        <v>1229</v>
      </c>
      <c r="M365" s="8" t="n">
        <v>337025</v>
      </c>
      <c r="N365" s="8" t="n">
        <v>848724</v>
      </c>
      <c r="O365" s="9" t="n">
        <v>13</v>
      </c>
      <c r="P365" s="9" t="n">
        <v>52</v>
      </c>
      <c r="R365" s="9" t="n">
        <v>1</v>
      </c>
      <c r="T365" s="10" t="n">
        <v>83.1</v>
      </c>
      <c r="U365" s="9" t="n">
        <v>5</v>
      </c>
      <c r="V365" s="3" t="s">
        <v>83</v>
      </c>
      <c r="W365" s="9" t="n">
        <v>1</v>
      </c>
      <c r="Z365" s="3" t="s">
        <v>56</v>
      </c>
      <c r="AA365" s="3" t="s">
        <v>1101</v>
      </c>
      <c r="AB365" s="11" t="n">
        <v>46127</v>
      </c>
    </row>
    <row r="366" customFormat="false" ht="15" hidden="false" customHeight="false" outlineLevel="0" collapsed="false">
      <c r="A366" s="3" t="s">
        <v>1230</v>
      </c>
      <c r="B366" s="3" t="s">
        <v>48</v>
      </c>
      <c r="C366" s="3" t="s">
        <v>234</v>
      </c>
      <c r="E366" s="3" t="s">
        <v>1231</v>
      </c>
      <c r="F366" s="3" t="s">
        <v>1098</v>
      </c>
      <c r="G366" s="3" t="s">
        <v>52</v>
      </c>
      <c r="H366" s="3" t="s">
        <v>1099</v>
      </c>
      <c r="I366" s="3" t="s">
        <v>1232</v>
      </c>
      <c r="M366" s="8" t="n">
        <v>477623</v>
      </c>
      <c r="N366" s="8" t="n">
        <v>356595</v>
      </c>
      <c r="O366" s="9" t="n">
        <v>8.2</v>
      </c>
      <c r="P366" s="9" t="n">
        <v>46</v>
      </c>
      <c r="R366" s="9" t="n">
        <v>1</v>
      </c>
      <c r="T366" s="10" t="n">
        <v>84.7</v>
      </c>
      <c r="U366" s="9" t="n">
        <v>7</v>
      </c>
      <c r="V366" s="3" t="s">
        <v>83</v>
      </c>
      <c r="W366" s="9" t="n">
        <v>1</v>
      </c>
      <c r="Z366" s="3" t="s">
        <v>56</v>
      </c>
      <c r="AA366" s="3" t="s">
        <v>1101</v>
      </c>
      <c r="AB366" s="11" t="n">
        <v>46127</v>
      </c>
    </row>
    <row r="367" customFormat="false" ht="15" hidden="false" customHeight="false" outlineLevel="0" collapsed="false">
      <c r="A367" s="3" t="s">
        <v>1233</v>
      </c>
      <c r="B367" s="3" t="s">
        <v>48</v>
      </c>
      <c r="C367" s="3" t="s">
        <v>238</v>
      </c>
      <c r="E367" s="3" t="s">
        <v>1234</v>
      </c>
      <c r="F367" s="3" t="s">
        <v>1098</v>
      </c>
      <c r="G367" s="3" t="s">
        <v>52</v>
      </c>
      <c r="H367" s="3" t="s">
        <v>1099</v>
      </c>
      <c r="I367" s="3" t="s">
        <v>1235</v>
      </c>
      <c r="M367" s="8" t="n">
        <v>455283</v>
      </c>
      <c r="N367" s="8" t="n">
        <v>75652</v>
      </c>
      <c r="O367" s="9" t="n">
        <v>5.6</v>
      </c>
      <c r="P367" s="9" t="n">
        <v>47</v>
      </c>
      <c r="R367" s="9" t="n">
        <v>1</v>
      </c>
      <c r="T367" s="10" t="n">
        <v>56.9</v>
      </c>
      <c r="U367" s="9" t="n">
        <v>8</v>
      </c>
      <c r="V367" s="3" t="s">
        <v>83</v>
      </c>
      <c r="W367" s="9" t="n">
        <v>1</v>
      </c>
      <c r="Z367" s="3" t="s">
        <v>56</v>
      </c>
      <c r="AA367" s="3" t="s">
        <v>1101</v>
      </c>
      <c r="AB367" s="11" t="n">
        <v>46127</v>
      </c>
    </row>
    <row r="368" customFormat="false" ht="15" hidden="false" customHeight="false" outlineLevel="0" collapsed="false">
      <c r="A368" s="3" t="s">
        <v>1236</v>
      </c>
      <c r="B368" s="3" t="s">
        <v>48</v>
      </c>
      <c r="C368" s="3" t="s">
        <v>242</v>
      </c>
      <c r="E368" s="3" t="s">
        <v>1237</v>
      </c>
      <c r="F368" s="3" t="s">
        <v>1098</v>
      </c>
      <c r="G368" s="3" t="s">
        <v>52</v>
      </c>
      <c r="H368" s="3" t="s">
        <v>1099</v>
      </c>
      <c r="I368" s="3" t="s">
        <v>882</v>
      </c>
      <c r="M368" s="8" t="n">
        <v>567096</v>
      </c>
      <c r="N368" s="8" t="n">
        <v>171880</v>
      </c>
      <c r="O368" s="9" t="n">
        <v>22.8</v>
      </c>
      <c r="P368" s="9" t="n">
        <v>71</v>
      </c>
      <c r="R368" s="9" t="n">
        <v>1</v>
      </c>
      <c r="T368" s="10" t="n">
        <v>94.1</v>
      </c>
      <c r="U368" s="9" t="n">
        <v>4</v>
      </c>
      <c r="V368" s="3" t="s">
        <v>83</v>
      </c>
      <c r="W368" s="9" t="n">
        <v>1</v>
      </c>
      <c r="Z368" s="3" t="s">
        <v>56</v>
      </c>
      <c r="AA368" s="3" t="s">
        <v>1101</v>
      </c>
      <c r="AB368" s="11" t="n">
        <v>46127</v>
      </c>
    </row>
    <row r="369" customFormat="false" ht="15" hidden="false" customHeight="false" outlineLevel="0" collapsed="false">
      <c r="A369" s="3" t="s">
        <v>1238</v>
      </c>
      <c r="B369" s="3" t="s">
        <v>48</v>
      </c>
      <c r="C369" s="3" t="s">
        <v>246</v>
      </c>
      <c r="E369" s="3" t="s">
        <v>1239</v>
      </c>
      <c r="F369" s="3" t="s">
        <v>1098</v>
      </c>
      <c r="G369" s="3" t="s">
        <v>52</v>
      </c>
      <c r="H369" s="3" t="s">
        <v>1099</v>
      </c>
      <c r="I369" s="3" t="s">
        <v>1240</v>
      </c>
      <c r="M369" s="8" t="n">
        <v>674948</v>
      </c>
      <c r="N369" s="8" t="n">
        <v>321310</v>
      </c>
      <c r="O369" s="9" t="n">
        <v>9.9</v>
      </c>
      <c r="P369" s="9" t="n">
        <v>71</v>
      </c>
      <c r="R369" s="9" t="n">
        <v>1</v>
      </c>
      <c r="T369" s="10" t="n">
        <v>22.9</v>
      </c>
      <c r="U369" s="9" t="n">
        <v>10</v>
      </c>
      <c r="V369" s="3" t="s">
        <v>83</v>
      </c>
      <c r="W369" s="9" t="n">
        <v>1</v>
      </c>
      <c r="Z369" s="3" t="s">
        <v>56</v>
      </c>
      <c r="AA369" s="3" t="s">
        <v>1101</v>
      </c>
      <c r="AB369" s="11" t="n">
        <v>46127</v>
      </c>
    </row>
    <row r="370" customFormat="false" ht="15" hidden="false" customHeight="false" outlineLevel="0" collapsed="false">
      <c r="A370" s="3" t="s">
        <v>1241</v>
      </c>
      <c r="B370" s="3" t="s">
        <v>48</v>
      </c>
      <c r="C370" s="3" t="s">
        <v>250</v>
      </c>
      <c r="E370" s="3" t="s">
        <v>1242</v>
      </c>
      <c r="F370" s="3" t="s">
        <v>1098</v>
      </c>
      <c r="G370" s="3" t="s">
        <v>52</v>
      </c>
      <c r="H370" s="3" t="s">
        <v>1099</v>
      </c>
      <c r="I370" s="3" t="s">
        <v>1243</v>
      </c>
      <c r="M370" s="8" t="n">
        <v>581964</v>
      </c>
      <c r="N370" s="8" t="n">
        <v>368884</v>
      </c>
      <c r="O370" s="9" t="n">
        <v>24.8</v>
      </c>
      <c r="P370" s="9" t="n">
        <v>68</v>
      </c>
      <c r="R370" s="9" t="n">
        <v>1</v>
      </c>
      <c r="T370" s="10" t="n">
        <v>93.5</v>
      </c>
      <c r="U370" s="9" t="n">
        <v>5</v>
      </c>
      <c r="V370" s="3" t="s">
        <v>92</v>
      </c>
      <c r="W370" s="9" t="n">
        <v>1</v>
      </c>
      <c r="Z370" s="3" t="s">
        <v>56</v>
      </c>
      <c r="AA370" s="3" t="s">
        <v>1101</v>
      </c>
      <c r="AB370" s="11" t="n">
        <v>46127</v>
      </c>
    </row>
    <row r="371" customFormat="false" ht="15" hidden="false" customHeight="false" outlineLevel="0" collapsed="false">
      <c r="A371" s="3" t="s">
        <v>1244</v>
      </c>
      <c r="B371" s="3" t="s">
        <v>48</v>
      </c>
      <c r="C371" s="3" t="s">
        <v>254</v>
      </c>
      <c r="E371" s="3" t="s">
        <v>1245</v>
      </c>
      <c r="F371" s="3" t="s">
        <v>1098</v>
      </c>
      <c r="G371" s="3" t="s">
        <v>52</v>
      </c>
      <c r="H371" s="3" t="s">
        <v>1099</v>
      </c>
      <c r="I371" s="3" t="s">
        <v>1246</v>
      </c>
      <c r="M371" s="8" t="n">
        <v>406154</v>
      </c>
      <c r="N371" s="8" t="n">
        <v>379348</v>
      </c>
      <c r="O371" s="9" t="n">
        <v>6.7</v>
      </c>
      <c r="P371" s="9" t="n">
        <v>75</v>
      </c>
      <c r="R371" s="9" t="n">
        <v>1</v>
      </c>
      <c r="T371" s="10" t="n">
        <v>60.5</v>
      </c>
      <c r="U371" s="9" t="n">
        <v>2</v>
      </c>
      <c r="V371" s="3" t="s">
        <v>92</v>
      </c>
      <c r="W371" s="9" t="n">
        <v>1</v>
      </c>
      <c r="Z371" s="3" t="s">
        <v>56</v>
      </c>
      <c r="AA371" s="3" t="s">
        <v>1101</v>
      </c>
      <c r="AB371" s="11" t="n">
        <v>46127</v>
      </c>
    </row>
    <row r="372" customFormat="false" ht="15" hidden="false" customHeight="false" outlineLevel="0" collapsed="false">
      <c r="A372" s="3" t="s">
        <v>1247</v>
      </c>
      <c r="B372" s="3" t="s">
        <v>48</v>
      </c>
      <c r="C372" s="3" t="s">
        <v>258</v>
      </c>
      <c r="E372" s="3" t="s">
        <v>1248</v>
      </c>
      <c r="F372" s="3" t="s">
        <v>1098</v>
      </c>
      <c r="G372" s="3" t="s">
        <v>52</v>
      </c>
      <c r="H372" s="3" t="s">
        <v>1099</v>
      </c>
      <c r="I372" s="3" t="s">
        <v>1249</v>
      </c>
      <c r="M372" s="8" t="n">
        <v>434496</v>
      </c>
      <c r="N372" s="8" t="n">
        <v>184125</v>
      </c>
      <c r="O372" s="9" t="n">
        <v>11.4</v>
      </c>
      <c r="P372" s="9" t="n">
        <v>40</v>
      </c>
      <c r="R372" s="9" t="n">
        <v>3</v>
      </c>
      <c r="T372" s="10" t="n">
        <v>82.3</v>
      </c>
      <c r="U372" s="9" t="n">
        <v>7</v>
      </c>
      <c r="V372" s="3" t="s">
        <v>83</v>
      </c>
      <c r="W372" s="9" t="n">
        <v>1</v>
      </c>
      <c r="Z372" s="3" t="s">
        <v>56</v>
      </c>
      <c r="AA372" s="3" t="s">
        <v>1101</v>
      </c>
      <c r="AB372" s="11" t="n">
        <v>46127</v>
      </c>
    </row>
    <row r="373" customFormat="false" ht="15" hidden="false" customHeight="false" outlineLevel="0" collapsed="false">
      <c r="A373" s="3" t="s">
        <v>1250</v>
      </c>
      <c r="B373" s="3" t="s">
        <v>48</v>
      </c>
      <c r="C373" s="3" t="s">
        <v>262</v>
      </c>
      <c r="E373" s="3" t="s">
        <v>1251</v>
      </c>
      <c r="F373" s="3" t="s">
        <v>1098</v>
      </c>
      <c r="G373" s="3" t="s">
        <v>52</v>
      </c>
      <c r="H373" s="3" t="s">
        <v>1099</v>
      </c>
      <c r="I373" s="3" t="s">
        <v>1252</v>
      </c>
      <c r="M373" s="8" t="n">
        <v>150226</v>
      </c>
      <c r="N373" s="8" t="n">
        <v>89711</v>
      </c>
      <c r="O373" s="9" t="n">
        <v>14.1</v>
      </c>
      <c r="P373" s="9" t="n">
        <v>56</v>
      </c>
      <c r="R373" s="9" t="n">
        <v>1</v>
      </c>
      <c r="T373" s="10" t="n">
        <v>50.2</v>
      </c>
      <c r="U373" s="9" t="n">
        <v>5</v>
      </c>
      <c r="V373" s="3" t="s">
        <v>62</v>
      </c>
      <c r="W373" s="9" t="n">
        <v>1</v>
      </c>
      <c r="Z373" s="3" t="s">
        <v>56</v>
      </c>
      <c r="AA373" s="3" t="s">
        <v>1101</v>
      </c>
      <c r="AB373" s="11" t="n">
        <v>46127</v>
      </c>
    </row>
    <row r="374" customFormat="false" ht="15" hidden="false" customHeight="false" outlineLevel="0" collapsed="false">
      <c r="A374" s="3" t="s">
        <v>1253</v>
      </c>
      <c r="B374" s="3" t="s">
        <v>48</v>
      </c>
      <c r="C374" s="3" t="s">
        <v>266</v>
      </c>
      <c r="E374" s="3" t="s">
        <v>1254</v>
      </c>
      <c r="F374" s="3" t="s">
        <v>1098</v>
      </c>
      <c r="G374" s="3" t="s">
        <v>52</v>
      </c>
      <c r="H374" s="3" t="s">
        <v>1099</v>
      </c>
      <c r="I374" s="3" t="s">
        <v>1255</v>
      </c>
      <c r="M374" s="8" t="n">
        <v>198965</v>
      </c>
      <c r="N374" s="8" t="n">
        <v>117161</v>
      </c>
      <c r="O374" s="9" t="n">
        <v>18.8</v>
      </c>
      <c r="P374" s="9" t="n">
        <v>51</v>
      </c>
      <c r="R374" s="9" t="n">
        <v>1</v>
      </c>
      <c r="T374" s="10" t="n">
        <v>83.1</v>
      </c>
      <c r="U374" s="9" t="n">
        <v>9</v>
      </c>
      <c r="V374" s="3" t="s">
        <v>92</v>
      </c>
      <c r="W374" s="9" t="n">
        <v>1</v>
      </c>
      <c r="Z374" s="3" t="s">
        <v>56</v>
      </c>
      <c r="AA374" s="3" t="s">
        <v>1101</v>
      </c>
      <c r="AB374" s="11" t="n">
        <v>46127</v>
      </c>
    </row>
    <row r="375" customFormat="false" ht="15" hidden="false" customHeight="false" outlineLevel="0" collapsed="false">
      <c r="A375" s="3" t="s">
        <v>1256</v>
      </c>
      <c r="B375" s="3" t="s">
        <v>48</v>
      </c>
      <c r="C375" s="3" t="s">
        <v>270</v>
      </c>
      <c r="E375" s="3" t="s">
        <v>1257</v>
      </c>
      <c r="F375" s="3" t="s">
        <v>1098</v>
      </c>
      <c r="G375" s="3" t="s">
        <v>52</v>
      </c>
      <c r="H375" s="3" t="s">
        <v>1099</v>
      </c>
      <c r="I375" s="3" t="s">
        <v>1258</v>
      </c>
      <c r="M375" s="8" t="n">
        <v>350462</v>
      </c>
      <c r="N375" s="8" t="n">
        <v>141062</v>
      </c>
      <c r="O375" s="9" t="n">
        <v>28</v>
      </c>
      <c r="P375" s="9" t="n">
        <v>37</v>
      </c>
      <c r="R375" s="9" t="n">
        <v>1</v>
      </c>
      <c r="T375" s="10" t="n">
        <v>69.4</v>
      </c>
      <c r="U375" s="9" t="n">
        <v>10</v>
      </c>
      <c r="V375" s="3" t="s">
        <v>55</v>
      </c>
      <c r="W375" s="9" t="n">
        <v>1</v>
      </c>
      <c r="Z375" s="3" t="s">
        <v>56</v>
      </c>
      <c r="AA375" s="3" t="s">
        <v>1101</v>
      </c>
      <c r="AB375" s="11" t="n">
        <v>46127</v>
      </c>
    </row>
    <row r="376" customFormat="false" ht="15" hidden="false" customHeight="false" outlineLevel="0" collapsed="false">
      <c r="A376" s="3" t="s">
        <v>1259</v>
      </c>
      <c r="B376" s="3" t="s">
        <v>48</v>
      </c>
      <c r="C376" s="3" t="s">
        <v>274</v>
      </c>
      <c r="E376" s="3" t="s">
        <v>1260</v>
      </c>
      <c r="F376" s="3" t="s">
        <v>1098</v>
      </c>
      <c r="G376" s="3" t="s">
        <v>52</v>
      </c>
      <c r="H376" s="3" t="s">
        <v>1099</v>
      </c>
      <c r="I376" s="3" t="s">
        <v>641</v>
      </c>
      <c r="M376" s="8" t="n">
        <v>275281</v>
      </c>
      <c r="N376" s="8" t="n">
        <v>548651</v>
      </c>
      <c r="O376" s="9" t="n">
        <v>24.3</v>
      </c>
      <c r="P376" s="9" t="n">
        <v>43</v>
      </c>
      <c r="R376" s="9" t="n">
        <v>1</v>
      </c>
      <c r="T376" s="10" t="n">
        <v>59.7</v>
      </c>
      <c r="U376" s="9" t="n">
        <v>2</v>
      </c>
      <c r="V376" s="3" t="s">
        <v>92</v>
      </c>
      <c r="W376" s="9" t="n">
        <v>1</v>
      </c>
      <c r="Z376" s="3" t="s">
        <v>56</v>
      </c>
      <c r="AA376" s="3" t="s">
        <v>1101</v>
      </c>
      <c r="AB376" s="11" t="n">
        <v>46127</v>
      </c>
    </row>
    <row r="377" customFormat="false" ht="15" hidden="false" customHeight="false" outlineLevel="0" collapsed="false">
      <c r="A377" s="3" t="s">
        <v>1261</v>
      </c>
      <c r="B377" s="3" t="s">
        <v>48</v>
      </c>
      <c r="C377" s="3" t="s">
        <v>278</v>
      </c>
      <c r="E377" s="3" t="s">
        <v>1262</v>
      </c>
      <c r="F377" s="3" t="s">
        <v>1098</v>
      </c>
      <c r="G377" s="3" t="s">
        <v>52</v>
      </c>
      <c r="H377" s="3" t="s">
        <v>1099</v>
      </c>
      <c r="I377" s="3" t="s">
        <v>1263</v>
      </c>
      <c r="M377" s="8" t="n">
        <v>306191</v>
      </c>
      <c r="N377" s="8" t="n">
        <v>258360</v>
      </c>
      <c r="O377" s="9" t="n">
        <v>11.9</v>
      </c>
      <c r="P377" s="9" t="n">
        <v>60</v>
      </c>
      <c r="R377" s="9" t="n">
        <v>1</v>
      </c>
      <c r="T377" s="10" t="n">
        <v>76.9</v>
      </c>
      <c r="U377" s="9" t="n">
        <v>6</v>
      </c>
      <c r="V377" s="3" t="s">
        <v>55</v>
      </c>
      <c r="W377" s="9" t="n">
        <v>1</v>
      </c>
      <c r="Z377" s="3" t="s">
        <v>56</v>
      </c>
      <c r="AA377" s="3" t="s">
        <v>1101</v>
      </c>
      <c r="AB377" s="11" t="n">
        <v>46127</v>
      </c>
    </row>
    <row r="378" customFormat="false" ht="15" hidden="false" customHeight="false" outlineLevel="0" collapsed="false">
      <c r="A378" s="3" t="s">
        <v>1264</v>
      </c>
      <c r="B378" s="3" t="s">
        <v>48</v>
      </c>
      <c r="C378" s="3" t="s">
        <v>282</v>
      </c>
      <c r="E378" s="3" t="s">
        <v>1265</v>
      </c>
      <c r="F378" s="3" t="s">
        <v>1098</v>
      </c>
      <c r="G378" s="3" t="s">
        <v>52</v>
      </c>
      <c r="H378" s="3" t="s">
        <v>1099</v>
      </c>
      <c r="I378" s="3" t="s">
        <v>1266</v>
      </c>
      <c r="M378" s="8" t="n">
        <v>358015</v>
      </c>
      <c r="N378" s="8" t="n">
        <v>216453</v>
      </c>
      <c r="O378" s="9" t="n">
        <v>16.5</v>
      </c>
      <c r="P378" s="9" t="n">
        <v>35</v>
      </c>
      <c r="R378" s="9" t="n">
        <v>1</v>
      </c>
      <c r="T378" s="10" t="n">
        <v>36.7</v>
      </c>
      <c r="U378" s="9" t="n">
        <v>7</v>
      </c>
      <c r="V378" s="3" t="s">
        <v>83</v>
      </c>
      <c r="W378" s="9" t="n">
        <v>1</v>
      </c>
      <c r="Z378" s="3" t="s">
        <v>56</v>
      </c>
      <c r="AA378" s="3" t="s">
        <v>1101</v>
      </c>
      <c r="AB378" s="11" t="n">
        <v>46127</v>
      </c>
    </row>
    <row r="379" customFormat="false" ht="15" hidden="false" customHeight="false" outlineLevel="0" collapsed="false">
      <c r="A379" s="3" t="s">
        <v>1267</v>
      </c>
      <c r="B379" s="3" t="s">
        <v>48</v>
      </c>
      <c r="C379" s="3" t="s">
        <v>286</v>
      </c>
      <c r="E379" s="3" t="s">
        <v>1268</v>
      </c>
      <c r="F379" s="3" t="s">
        <v>1098</v>
      </c>
      <c r="G379" s="3" t="s">
        <v>52</v>
      </c>
      <c r="H379" s="3" t="s">
        <v>1099</v>
      </c>
      <c r="I379" s="3" t="s">
        <v>1269</v>
      </c>
      <c r="M379" s="8" t="n">
        <v>528461</v>
      </c>
      <c r="N379" s="8" t="n">
        <v>367571</v>
      </c>
      <c r="O379" s="9" t="n">
        <v>28</v>
      </c>
      <c r="P379" s="9" t="n">
        <v>66</v>
      </c>
      <c r="R379" s="9" t="n">
        <v>1</v>
      </c>
      <c r="T379" s="10" t="n">
        <v>52.6</v>
      </c>
      <c r="U379" s="9" t="n">
        <v>6</v>
      </c>
      <c r="V379" s="3" t="s">
        <v>83</v>
      </c>
      <c r="W379" s="9" t="n">
        <v>1</v>
      </c>
      <c r="Z379" s="3" t="s">
        <v>56</v>
      </c>
      <c r="AA379" s="3" t="s">
        <v>1101</v>
      </c>
      <c r="AB379" s="11" t="n">
        <v>46127</v>
      </c>
    </row>
    <row r="380" customFormat="false" ht="15" hidden="false" customHeight="false" outlineLevel="0" collapsed="false">
      <c r="A380" s="3" t="s">
        <v>1270</v>
      </c>
      <c r="B380" s="3" t="s">
        <v>48</v>
      </c>
      <c r="C380" s="3" t="s">
        <v>290</v>
      </c>
      <c r="E380" s="3" t="s">
        <v>1271</v>
      </c>
      <c r="F380" s="3" t="s">
        <v>1098</v>
      </c>
      <c r="G380" s="3" t="s">
        <v>52</v>
      </c>
      <c r="H380" s="3" t="s">
        <v>1099</v>
      </c>
      <c r="I380" s="3" t="s">
        <v>1272</v>
      </c>
      <c r="M380" s="8" t="n">
        <v>322675</v>
      </c>
      <c r="N380" s="8" t="n">
        <v>384221</v>
      </c>
      <c r="O380" s="9" t="n">
        <v>9.2</v>
      </c>
      <c r="P380" s="9" t="n">
        <v>64</v>
      </c>
      <c r="R380" s="9" t="n">
        <v>1</v>
      </c>
      <c r="T380" s="10" t="n">
        <v>43.8</v>
      </c>
      <c r="U380" s="9" t="n">
        <v>7</v>
      </c>
      <c r="V380" s="3" t="s">
        <v>62</v>
      </c>
      <c r="W380" s="9" t="n">
        <v>1</v>
      </c>
      <c r="Z380" s="3" t="s">
        <v>56</v>
      </c>
      <c r="AA380" s="3" t="s">
        <v>1101</v>
      </c>
      <c r="AB380" s="11" t="n">
        <v>46127</v>
      </c>
    </row>
    <row r="381" customFormat="false" ht="15" hidden="false" customHeight="false" outlineLevel="0" collapsed="false">
      <c r="A381" s="3" t="s">
        <v>1273</v>
      </c>
      <c r="B381" s="3" t="s">
        <v>48</v>
      </c>
      <c r="C381" s="3" t="s">
        <v>294</v>
      </c>
      <c r="E381" s="3" t="s">
        <v>1274</v>
      </c>
      <c r="F381" s="3" t="s">
        <v>1098</v>
      </c>
      <c r="G381" s="3" t="s">
        <v>52</v>
      </c>
      <c r="H381" s="3" t="s">
        <v>1099</v>
      </c>
      <c r="I381" s="3" t="s">
        <v>1275</v>
      </c>
      <c r="M381" s="8" t="n">
        <v>526683</v>
      </c>
      <c r="N381" s="8" t="n">
        <v>98044</v>
      </c>
      <c r="O381" s="9" t="n">
        <v>30</v>
      </c>
      <c r="P381" s="9" t="n">
        <v>49</v>
      </c>
      <c r="R381" s="9" t="n">
        <v>1</v>
      </c>
      <c r="T381" s="10" t="n">
        <v>54.1</v>
      </c>
      <c r="U381" s="9" t="n">
        <v>1</v>
      </c>
      <c r="V381" s="3" t="s">
        <v>62</v>
      </c>
      <c r="W381" s="9" t="n">
        <v>1</v>
      </c>
      <c r="Z381" s="3" t="s">
        <v>56</v>
      </c>
      <c r="AA381" s="3" t="s">
        <v>1101</v>
      </c>
      <c r="AB381" s="11" t="n">
        <v>46127</v>
      </c>
    </row>
    <row r="382" customFormat="false" ht="15" hidden="false" customHeight="false" outlineLevel="0" collapsed="false">
      <c r="A382" s="3" t="s">
        <v>1276</v>
      </c>
      <c r="B382" s="3" t="s">
        <v>48</v>
      </c>
      <c r="C382" s="3" t="s">
        <v>298</v>
      </c>
      <c r="E382" s="3" t="s">
        <v>1277</v>
      </c>
      <c r="F382" s="3" t="s">
        <v>1098</v>
      </c>
      <c r="G382" s="3" t="s">
        <v>52</v>
      </c>
      <c r="H382" s="3" t="s">
        <v>1099</v>
      </c>
      <c r="I382" s="3" t="s">
        <v>1278</v>
      </c>
      <c r="M382" s="8" t="n">
        <v>296801</v>
      </c>
      <c r="N382" s="8" t="n">
        <v>365203</v>
      </c>
      <c r="O382" s="9" t="n">
        <v>25.9</v>
      </c>
      <c r="P382" s="9" t="n">
        <v>59</v>
      </c>
      <c r="R382" s="9" t="n">
        <v>3</v>
      </c>
      <c r="T382" s="10" t="n">
        <v>57.1</v>
      </c>
      <c r="U382" s="9" t="n">
        <v>4</v>
      </c>
      <c r="V382" s="3" t="s">
        <v>62</v>
      </c>
      <c r="W382" s="9" t="n">
        <v>1</v>
      </c>
      <c r="Z382" s="3" t="s">
        <v>56</v>
      </c>
      <c r="AA382" s="3" t="s">
        <v>1101</v>
      </c>
      <c r="AB382" s="11" t="n">
        <v>46127</v>
      </c>
    </row>
    <row r="383" customFormat="false" ht="15" hidden="false" customHeight="false" outlineLevel="0" collapsed="false">
      <c r="A383" s="3" t="s">
        <v>1279</v>
      </c>
      <c r="B383" s="3" t="s">
        <v>48</v>
      </c>
      <c r="C383" s="3" t="s">
        <v>302</v>
      </c>
      <c r="E383" s="3" t="s">
        <v>1280</v>
      </c>
      <c r="F383" s="3" t="s">
        <v>1098</v>
      </c>
      <c r="G383" s="3" t="s">
        <v>52</v>
      </c>
      <c r="H383" s="3" t="s">
        <v>1099</v>
      </c>
      <c r="I383" s="3" t="s">
        <v>1281</v>
      </c>
      <c r="M383" s="8" t="n">
        <v>212593</v>
      </c>
      <c r="N383" s="8" t="n">
        <v>1038999</v>
      </c>
      <c r="O383" s="9" t="n">
        <v>13.4</v>
      </c>
      <c r="P383" s="9" t="n">
        <v>72</v>
      </c>
      <c r="R383" s="9" t="n">
        <v>1</v>
      </c>
      <c r="T383" s="10" t="n">
        <v>39.3</v>
      </c>
      <c r="U383" s="9" t="n">
        <v>8</v>
      </c>
      <c r="V383" s="3" t="s">
        <v>92</v>
      </c>
      <c r="W383" s="9" t="n">
        <v>1</v>
      </c>
      <c r="Z383" s="3" t="s">
        <v>56</v>
      </c>
      <c r="AA383" s="3" t="s">
        <v>1101</v>
      </c>
      <c r="AB383" s="11" t="n">
        <v>46127</v>
      </c>
    </row>
    <row r="384" customFormat="false" ht="15" hidden="false" customHeight="false" outlineLevel="0" collapsed="false">
      <c r="A384" s="3" t="s">
        <v>1282</v>
      </c>
      <c r="B384" s="3" t="s">
        <v>48</v>
      </c>
      <c r="C384" s="3" t="s">
        <v>306</v>
      </c>
      <c r="E384" s="3" t="s">
        <v>1283</v>
      </c>
      <c r="F384" s="3" t="s">
        <v>1098</v>
      </c>
      <c r="G384" s="3" t="s">
        <v>52</v>
      </c>
      <c r="H384" s="3" t="s">
        <v>1099</v>
      </c>
      <c r="I384" s="3" t="s">
        <v>1284</v>
      </c>
      <c r="M384" s="8" t="n">
        <v>304883</v>
      </c>
      <c r="N384" s="8" t="n">
        <v>254096</v>
      </c>
      <c r="O384" s="9" t="n">
        <v>3.5</v>
      </c>
      <c r="P384" s="9" t="n">
        <v>57</v>
      </c>
      <c r="R384" s="9" t="n">
        <v>1</v>
      </c>
      <c r="T384" s="10" t="n">
        <v>69.4</v>
      </c>
      <c r="U384" s="9" t="n">
        <v>4</v>
      </c>
      <c r="V384" s="3" t="s">
        <v>83</v>
      </c>
      <c r="W384" s="9" t="n">
        <v>1</v>
      </c>
      <c r="Z384" s="3" t="s">
        <v>56</v>
      </c>
      <c r="AA384" s="3" t="s">
        <v>1101</v>
      </c>
      <c r="AB384" s="11" t="n">
        <v>46127</v>
      </c>
    </row>
    <row r="385" customFormat="false" ht="15" hidden="false" customHeight="false" outlineLevel="0" collapsed="false">
      <c r="A385" s="3" t="s">
        <v>1285</v>
      </c>
      <c r="B385" s="3" t="s">
        <v>48</v>
      </c>
      <c r="C385" s="3" t="s">
        <v>310</v>
      </c>
      <c r="E385" s="3" t="s">
        <v>1286</v>
      </c>
      <c r="F385" s="3" t="s">
        <v>1098</v>
      </c>
      <c r="G385" s="3" t="s">
        <v>52</v>
      </c>
      <c r="H385" s="3" t="s">
        <v>1099</v>
      </c>
      <c r="I385" s="3" t="s">
        <v>1287</v>
      </c>
      <c r="M385" s="8" t="n">
        <v>270735</v>
      </c>
      <c r="N385" s="8" t="n">
        <v>177714</v>
      </c>
      <c r="O385" s="9" t="n">
        <v>13.7</v>
      </c>
      <c r="P385" s="9" t="n">
        <v>51</v>
      </c>
      <c r="R385" s="9" t="n">
        <v>1</v>
      </c>
      <c r="T385" s="10" t="n">
        <v>87.6</v>
      </c>
      <c r="U385" s="9" t="n">
        <v>3</v>
      </c>
      <c r="V385" s="3" t="s">
        <v>62</v>
      </c>
      <c r="W385" s="9" t="n">
        <v>1</v>
      </c>
      <c r="Z385" s="3" t="s">
        <v>56</v>
      </c>
      <c r="AA385" s="3" t="s">
        <v>1101</v>
      </c>
      <c r="AB385" s="11" t="n">
        <v>46127</v>
      </c>
    </row>
    <row r="386" customFormat="false" ht="15" hidden="false" customHeight="false" outlineLevel="0" collapsed="false">
      <c r="A386" s="3" t="s">
        <v>1288</v>
      </c>
      <c r="B386" s="3" t="s">
        <v>48</v>
      </c>
      <c r="C386" s="3" t="s">
        <v>314</v>
      </c>
      <c r="E386" s="3" t="s">
        <v>1289</v>
      </c>
      <c r="F386" s="3" t="s">
        <v>1098</v>
      </c>
      <c r="G386" s="3" t="s">
        <v>52</v>
      </c>
      <c r="H386" s="3" t="s">
        <v>1099</v>
      </c>
      <c r="I386" s="3" t="s">
        <v>1290</v>
      </c>
      <c r="M386" s="8" t="n">
        <v>141306</v>
      </c>
      <c r="N386" s="8" t="n">
        <v>141705</v>
      </c>
      <c r="O386" s="9" t="n">
        <v>7.3</v>
      </c>
      <c r="P386" s="9" t="n">
        <v>57</v>
      </c>
      <c r="R386" s="9" t="n">
        <v>1</v>
      </c>
      <c r="T386" s="10" t="n">
        <v>92.6</v>
      </c>
      <c r="U386" s="9" t="n">
        <v>10</v>
      </c>
      <c r="V386" s="3" t="s">
        <v>83</v>
      </c>
      <c r="W386" s="9" t="n">
        <v>1</v>
      </c>
      <c r="Z386" s="3" t="s">
        <v>56</v>
      </c>
      <c r="AA386" s="3" t="s">
        <v>1101</v>
      </c>
      <c r="AB386" s="11" t="n">
        <v>46127</v>
      </c>
    </row>
    <row r="387" customFormat="false" ht="15" hidden="false" customHeight="false" outlineLevel="0" collapsed="false">
      <c r="A387" s="3" t="s">
        <v>1291</v>
      </c>
      <c r="B387" s="3" t="s">
        <v>48</v>
      </c>
      <c r="C387" s="3" t="s">
        <v>318</v>
      </c>
      <c r="E387" s="3" t="s">
        <v>791</v>
      </c>
      <c r="F387" s="3" t="s">
        <v>1098</v>
      </c>
      <c r="G387" s="3" t="s">
        <v>52</v>
      </c>
      <c r="H387" s="3" t="s">
        <v>1099</v>
      </c>
      <c r="I387" s="3" t="s">
        <v>1292</v>
      </c>
      <c r="M387" s="8" t="n">
        <v>193986</v>
      </c>
      <c r="N387" s="8" t="n">
        <v>517458</v>
      </c>
      <c r="O387" s="9" t="n">
        <v>8.8</v>
      </c>
      <c r="P387" s="9" t="n">
        <v>69</v>
      </c>
      <c r="R387" s="9" t="n">
        <v>1</v>
      </c>
      <c r="T387" s="10" t="n">
        <v>77.1</v>
      </c>
      <c r="U387" s="9" t="n">
        <v>4</v>
      </c>
      <c r="V387" s="3" t="s">
        <v>92</v>
      </c>
      <c r="W387" s="9" t="n">
        <v>1</v>
      </c>
      <c r="Z387" s="3" t="s">
        <v>56</v>
      </c>
      <c r="AA387" s="3" t="s">
        <v>1101</v>
      </c>
      <c r="AB387" s="11" t="n">
        <v>46127</v>
      </c>
    </row>
    <row r="388" customFormat="false" ht="15" hidden="false" customHeight="false" outlineLevel="0" collapsed="false">
      <c r="A388" s="3" t="s">
        <v>1293</v>
      </c>
      <c r="B388" s="3" t="s">
        <v>48</v>
      </c>
      <c r="C388" s="3" t="s">
        <v>322</v>
      </c>
      <c r="E388" s="3" t="s">
        <v>1294</v>
      </c>
      <c r="F388" s="3" t="s">
        <v>1098</v>
      </c>
      <c r="G388" s="3" t="s">
        <v>52</v>
      </c>
      <c r="H388" s="3" t="s">
        <v>1099</v>
      </c>
      <c r="I388" s="3" t="s">
        <v>1295</v>
      </c>
      <c r="M388" s="8" t="n">
        <v>124223</v>
      </c>
      <c r="N388" s="8" t="n">
        <v>280700</v>
      </c>
      <c r="O388" s="9" t="n">
        <v>29.3</v>
      </c>
      <c r="P388" s="9" t="n">
        <v>76</v>
      </c>
      <c r="R388" s="9" t="n">
        <v>2</v>
      </c>
      <c r="T388" s="10" t="n">
        <v>23.8</v>
      </c>
      <c r="U388" s="9" t="n">
        <v>3</v>
      </c>
      <c r="V388" s="3" t="s">
        <v>55</v>
      </c>
      <c r="W388" s="9" t="n">
        <v>1</v>
      </c>
      <c r="Z388" s="3" t="s">
        <v>56</v>
      </c>
      <c r="AA388" s="3" t="s">
        <v>1101</v>
      </c>
      <c r="AB388" s="11" t="n">
        <v>46127</v>
      </c>
    </row>
    <row r="389" customFormat="false" ht="15" hidden="false" customHeight="false" outlineLevel="0" collapsed="false">
      <c r="A389" s="3" t="s">
        <v>1296</v>
      </c>
      <c r="B389" s="3" t="s">
        <v>48</v>
      </c>
      <c r="C389" s="3" t="s">
        <v>326</v>
      </c>
      <c r="E389" s="3" t="s">
        <v>1297</v>
      </c>
      <c r="F389" s="3" t="s">
        <v>1098</v>
      </c>
      <c r="G389" s="3" t="s">
        <v>52</v>
      </c>
      <c r="H389" s="3" t="s">
        <v>1099</v>
      </c>
      <c r="I389" s="3" t="s">
        <v>1298</v>
      </c>
      <c r="M389" s="8" t="n">
        <v>437376</v>
      </c>
      <c r="N389" s="8" t="n">
        <v>484320</v>
      </c>
      <c r="O389" s="9" t="n">
        <v>14</v>
      </c>
      <c r="P389" s="9" t="n">
        <v>38</v>
      </c>
      <c r="R389" s="9" t="n">
        <v>1</v>
      </c>
      <c r="T389" s="10" t="n">
        <v>52.8</v>
      </c>
      <c r="U389" s="9" t="n">
        <v>9</v>
      </c>
      <c r="V389" s="3" t="s">
        <v>62</v>
      </c>
      <c r="W389" s="9" t="n">
        <v>1</v>
      </c>
      <c r="Z389" s="3" t="s">
        <v>56</v>
      </c>
      <c r="AA389" s="3" t="s">
        <v>1101</v>
      </c>
      <c r="AB389" s="11" t="n">
        <v>46127</v>
      </c>
    </row>
    <row r="390" customFormat="false" ht="15" hidden="false" customHeight="false" outlineLevel="0" collapsed="false">
      <c r="A390" s="3" t="s">
        <v>1299</v>
      </c>
      <c r="B390" s="3" t="s">
        <v>48</v>
      </c>
      <c r="C390" s="3" t="s">
        <v>330</v>
      </c>
      <c r="E390" s="3" t="s">
        <v>1300</v>
      </c>
      <c r="F390" s="3" t="s">
        <v>1098</v>
      </c>
      <c r="G390" s="3" t="s">
        <v>52</v>
      </c>
      <c r="H390" s="3" t="s">
        <v>1099</v>
      </c>
      <c r="I390" s="3" t="s">
        <v>1301</v>
      </c>
      <c r="M390" s="8" t="n">
        <v>390989</v>
      </c>
      <c r="N390" s="8" t="n">
        <v>191525</v>
      </c>
      <c r="O390" s="9" t="n">
        <v>18</v>
      </c>
      <c r="P390" s="9" t="n">
        <v>70</v>
      </c>
      <c r="R390" s="9" t="n">
        <v>1</v>
      </c>
      <c r="T390" s="10" t="n">
        <v>66.3</v>
      </c>
      <c r="U390" s="9" t="n">
        <v>9</v>
      </c>
      <c r="V390" s="3" t="s">
        <v>62</v>
      </c>
      <c r="W390" s="9" t="n">
        <v>1</v>
      </c>
      <c r="Z390" s="3" t="s">
        <v>56</v>
      </c>
      <c r="AA390" s="3" t="s">
        <v>1101</v>
      </c>
      <c r="AB390" s="11" t="n">
        <v>46127</v>
      </c>
    </row>
    <row r="391" customFormat="false" ht="15" hidden="false" customHeight="false" outlineLevel="0" collapsed="false">
      <c r="A391" s="3" t="s">
        <v>1302</v>
      </c>
      <c r="B391" s="3" t="s">
        <v>48</v>
      </c>
      <c r="C391" s="3" t="s">
        <v>334</v>
      </c>
      <c r="E391" s="3" t="s">
        <v>1303</v>
      </c>
      <c r="F391" s="3" t="s">
        <v>1098</v>
      </c>
      <c r="G391" s="3" t="s">
        <v>52</v>
      </c>
      <c r="H391" s="3" t="s">
        <v>1099</v>
      </c>
      <c r="I391" s="3" t="s">
        <v>1304</v>
      </c>
      <c r="M391" s="8" t="n">
        <v>245525</v>
      </c>
      <c r="N391" s="8" t="n">
        <v>116523</v>
      </c>
      <c r="O391" s="9" t="n">
        <v>3.8</v>
      </c>
      <c r="P391" s="9" t="n">
        <v>55</v>
      </c>
      <c r="R391" s="9" t="n">
        <v>1</v>
      </c>
      <c r="T391" s="10" t="n">
        <v>67.3</v>
      </c>
      <c r="U391" s="9" t="n">
        <v>8</v>
      </c>
      <c r="V391" s="3" t="s">
        <v>92</v>
      </c>
      <c r="W391" s="9" t="n">
        <v>1</v>
      </c>
      <c r="Z391" s="3" t="s">
        <v>56</v>
      </c>
      <c r="AA391" s="3" t="s">
        <v>1101</v>
      </c>
      <c r="AB391" s="11" t="n">
        <v>46127</v>
      </c>
    </row>
    <row r="392" customFormat="false" ht="15" hidden="false" customHeight="false" outlineLevel="0" collapsed="false">
      <c r="A392" s="3" t="s">
        <v>1305</v>
      </c>
      <c r="B392" s="3" t="s">
        <v>48</v>
      </c>
      <c r="C392" s="3" t="s">
        <v>338</v>
      </c>
      <c r="E392" s="3" t="s">
        <v>1306</v>
      </c>
      <c r="F392" s="3" t="s">
        <v>1098</v>
      </c>
      <c r="G392" s="3" t="s">
        <v>52</v>
      </c>
      <c r="H392" s="3" t="s">
        <v>1099</v>
      </c>
      <c r="I392" s="3" t="s">
        <v>1307</v>
      </c>
      <c r="M392" s="8" t="n">
        <v>400732</v>
      </c>
      <c r="N392" s="8" t="n">
        <v>571436</v>
      </c>
      <c r="O392" s="9" t="n">
        <v>3.3</v>
      </c>
      <c r="P392" s="9" t="n">
        <v>74</v>
      </c>
      <c r="R392" s="9" t="n">
        <v>1</v>
      </c>
      <c r="T392" s="10" t="n">
        <v>77.5</v>
      </c>
      <c r="U392" s="9" t="n">
        <v>2</v>
      </c>
      <c r="V392" s="3" t="s">
        <v>83</v>
      </c>
      <c r="W392" s="9" t="n">
        <v>1</v>
      </c>
      <c r="Z392" s="3" t="s">
        <v>56</v>
      </c>
      <c r="AA392" s="3" t="s">
        <v>1101</v>
      </c>
      <c r="AB392" s="11" t="n">
        <v>46127</v>
      </c>
    </row>
    <row r="393" customFormat="false" ht="15" hidden="false" customHeight="false" outlineLevel="0" collapsed="false">
      <c r="A393" s="3" t="s">
        <v>1308</v>
      </c>
      <c r="B393" s="3" t="s">
        <v>48</v>
      </c>
      <c r="C393" s="3" t="s">
        <v>342</v>
      </c>
      <c r="E393" s="3" t="s">
        <v>1309</v>
      </c>
      <c r="F393" s="3" t="s">
        <v>1098</v>
      </c>
      <c r="G393" s="3" t="s">
        <v>52</v>
      </c>
      <c r="H393" s="3" t="s">
        <v>1099</v>
      </c>
      <c r="I393" s="3" t="s">
        <v>1310</v>
      </c>
      <c r="M393" s="8" t="n">
        <v>709631</v>
      </c>
      <c r="N393" s="8" t="n">
        <v>796116</v>
      </c>
      <c r="O393" s="9" t="n">
        <v>9</v>
      </c>
      <c r="P393" s="9" t="n">
        <v>63</v>
      </c>
      <c r="R393" s="9" t="n">
        <v>1</v>
      </c>
      <c r="T393" s="10" t="n">
        <v>75.4</v>
      </c>
      <c r="U393" s="9" t="n">
        <v>6</v>
      </c>
      <c r="V393" s="3" t="s">
        <v>55</v>
      </c>
      <c r="W393" s="9" t="n">
        <v>1</v>
      </c>
      <c r="Z393" s="3" t="s">
        <v>56</v>
      </c>
      <c r="AA393" s="3" t="s">
        <v>1101</v>
      </c>
      <c r="AB393" s="11" t="n">
        <v>46127</v>
      </c>
    </row>
    <row r="394" customFormat="false" ht="15" hidden="false" customHeight="false" outlineLevel="0" collapsed="false">
      <c r="A394" s="3" t="s">
        <v>1311</v>
      </c>
      <c r="B394" s="3" t="s">
        <v>48</v>
      </c>
      <c r="C394" s="3" t="s">
        <v>346</v>
      </c>
      <c r="E394" s="3" t="s">
        <v>1312</v>
      </c>
      <c r="F394" s="3" t="s">
        <v>1098</v>
      </c>
      <c r="G394" s="3" t="s">
        <v>52</v>
      </c>
      <c r="H394" s="3" t="s">
        <v>1099</v>
      </c>
      <c r="I394" s="3" t="s">
        <v>1313</v>
      </c>
      <c r="M394" s="8" t="n">
        <v>420317</v>
      </c>
      <c r="N394" s="8" t="n">
        <v>87699</v>
      </c>
      <c r="O394" s="9" t="n">
        <v>13.5</v>
      </c>
      <c r="P394" s="9" t="n">
        <v>65</v>
      </c>
      <c r="R394" s="9" t="n">
        <v>1</v>
      </c>
      <c r="T394" s="10" t="n">
        <v>70.6</v>
      </c>
      <c r="U394" s="9" t="n">
        <v>5</v>
      </c>
      <c r="V394" s="3" t="s">
        <v>83</v>
      </c>
      <c r="W394" s="9" t="n">
        <v>1</v>
      </c>
      <c r="Z394" s="3" t="s">
        <v>56</v>
      </c>
      <c r="AA394" s="3" t="s">
        <v>1101</v>
      </c>
      <c r="AB394" s="11" t="n">
        <v>46127</v>
      </c>
    </row>
    <row r="395" customFormat="false" ht="15" hidden="false" customHeight="false" outlineLevel="0" collapsed="false">
      <c r="A395" s="3" t="s">
        <v>1314</v>
      </c>
      <c r="B395" s="3" t="s">
        <v>48</v>
      </c>
      <c r="C395" s="3" t="s">
        <v>350</v>
      </c>
      <c r="E395" s="3" t="s">
        <v>1315</v>
      </c>
      <c r="F395" s="3" t="s">
        <v>1098</v>
      </c>
      <c r="G395" s="3" t="s">
        <v>52</v>
      </c>
      <c r="H395" s="3" t="s">
        <v>1099</v>
      </c>
      <c r="I395" s="3" t="s">
        <v>1316</v>
      </c>
      <c r="M395" s="8" t="n">
        <v>833237</v>
      </c>
      <c r="N395" s="8" t="n">
        <v>264555</v>
      </c>
      <c r="O395" s="9" t="n">
        <v>11.2</v>
      </c>
      <c r="P395" s="9" t="n">
        <v>38</v>
      </c>
      <c r="R395" s="9" t="n">
        <v>1</v>
      </c>
      <c r="T395" s="10" t="n">
        <v>57.6</v>
      </c>
      <c r="U395" s="9" t="n">
        <v>1</v>
      </c>
      <c r="V395" s="3" t="s">
        <v>83</v>
      </c>
      <c r="W395" s="9" t="n">
        <v>1</v>
      </c>
      <c r="Z395" s="3" t="s">
        <v>56</v>
      </c>
      <c r="AA395" s="3" t="s">
        <v>1101</v>
      </c>
      <c r="AB395" s="11" t="n">
        <v>46127</v>
      </c>
    </row>
    <row r="396" customFormat="false" ht="15" hidden="false" customHeight="false" outlineLevel="0" collapsed="false">
      <c r="A396" s="3" t="s">
        <v>1317</v>
      </c>
      <c r="B396" s="3" t="s">
        <v>48</v>
      </c>
      <c r="C396" s="3" t="s">
        <v>354</v>
      </c>
      <c r="E396" s="3" t="s">
        <v>1318</v>
      </c>
      <c r="F396" s="3" t="s">
        <v>1098</v>
      </c>
      <c r="G396" s="3" t="s">
        <v>52</v>
      </c>
      <c r="H396" s="3" t="s">
        <v>1099</v>
      </c>
      <c r="I396" s="3" t="s">
        <v>511</v>
      </c>
      <c r="M396" s="8" t="n">
        <v>67281</v>
      </c>
      <c r="N396" s="8" t="n">
        <v>218635</v>
      </c>
      <c r="O396" s="9" t="n">
        <v>16.6</v>
      </c>
      <c r="P396" s="9" t="n">
        <v>37</v>
      </c>
      <c r="R396" s="9" t="n">
        <v>1</v>
      </c>
      <c r="T396" s="10" t="n">
        <v>88.3</v>
      </c>
      <c r="U396" s="9" t="n">
        <v>10</v>
      </c>
      <c r="V396" s="3" t="s">
        <v>92</v>
      </c>
      <c r="W396" s="9" t="n">
        <v>1</v>
      </c>
      <c r="Z396" s="3" t="s">
        <v>56</v>
      </c>
      <c r="AA396" s="3" t="s">
        <v>1101</v>
      </c>
      <c r="AB396" s="11" t="n">
        <v>46127</v>
      </c>
    </row>
    <row r="397" customFormat="false" ht="15" hidden="false" customHeight="false" outlineLevel="0" collapsed="false">
      <c r="A397" s="3" t="s">
        <v>1319</v>
      </c>
      <c r="B397" s="3" t="s">
        <v>48</v>
      </c>
      <c r="C397" s="3" t="s">
        <v>358</v>
      </c>
      <c r="E397" s="3" t="s">
        <v>1320</v>
      </c>
      <c r="F397" s="3" t="s">
        <v>1098</v>
      </c>
      <c r="G397" s="3" t="s">
        <v>52</v>
      </c>
      <c r="H397" s="3" t="s">
        <v>1099</v>
      </c>
      <c r="I397" s="3" t="s">
        <v>1321</v>
      </c>
      <c r="M397" s="8" t="n">
        <v>1007555</v>
      </c>
      <c r="N397" s="8" t="n">
        <v>663321</v>
      </c>
      <c r="O397" s="9" t="n">
        <v>12.3</v>
      </c>
      <c r="P397" s="9" t="n">
        <v>40</v>
      </c>
      <c r="R397" s="9" t="n">
        <v>1</v>
      </c>
      <c r="T397" s="10" t="n">
        <v>48.8</v>
      </c>
      <c r="U397" s="9" t="n">
        <v>9</v>
      </c>
      <c r="V397" s="3" t="s">
        <v>92</v>
      </c>
      <c r="W397" s="9" t="n">
        <v>1</v>
      </c>
      <c r="Z397" s="3" t="s">
        <v>56</v>
      </c>
      <c r="AA397" s="3" t="s">
        <v>1101</v>
      </c>
      <c r="AB397" s="11" t="n">
        <v>46127</v>
      </c>
    </row>
    <row r="398" customFormat="false" ht="15" hidden="false" customHeight="false" outlineLevel="0" collapsed="false">
      <c r="A398" s="3" t="s">
        <v>1322</v>
      </c>
      <c r="B398" s="3" t="s">
        <v>48</v>
      </c>
      <c r="C398" s="3" t="s">
        <v>362</v>
      </c>
      <c r="E398" s="3" t="s">
        <v>1323</v>
      </c>
      <c r="F398" s="3" t="s">
        <v>1098</v>
      </c>
      <c r="G398" s="3" t="s">
        <v>52</v>
      </c>
      <c r="H398" s="3" t="s">
        <v>1099</v>
      </c>
      <c r="I398" s="3" t="s">
        <v>1324</v>
      </c>
      <c r="M398" s="8" t="n">
        <v>65681</v>
      </c>
      <c r="N398" s="8" t="n">
        <v>216110</v>
      </c>
      <c r="O398" s="9" t="n">
        <v>9.8</v>
      </c>
      <c r="P398" s="9" t="n">
        <v>44</v>
      </c>
      <c r="R398" s="9" t="n">
        <v>2</v>
      </c>
      <c r="T398" s="10" t="n">
        <v>88.3</v>
      </c>
      <c r="U398" s="9" t="n">
        <v>6</v>
      </c>
      <c r="V398" s="3" t="s">
        <v>83</v>
      </c>
      <c r="W398" s="9" t="n">
        <v>1</v>
      </c>
      <c r="Z398" s="3" t="s">
        <v>56</v>
      </c>
      <c r="AA398" s="3" t="s">
        <v>1101</v>
      </c>
      <c r="AB398" s="11" t="n">
        <v>46127</v>
      </c>
    </row>
    <row r="399" customFormat="false" ht="15" hidden="false" customHeight="false" outlineLevel="0" collapsed="false">
      <c r="A399" s="3" t="s">
        <v>1325</v>
      </c>
      <c r="B399" s="3" t="s">
        <v>48</v>
      </c>
      <c r="C399" s="3" t="s">
        <v>366</v>
      </c>
      <c r="E399" s="3" t="s">
        <v>1326</v>
      </c>
      <c r="F399" s="3" t="s">
        <v>1098</v>
      </c>
      <c r="G399" s="3" t="s">
        <v>52</v>
      </c>
      <c r="H399" s="3" t="s">
        <v>1099</v>
      </c>
      <c r="I399" s="3" t="s">
        <v>1327</v>
      </c>
      <c r="M399" s="8" t="n">
        <v>224507</v>
      </c>
      <c r="N399" s="8" t="n">
        <v>391677</v>
      </c>
      <c r="O399" s="9" t="n">
        <v>26.4</v>
      </c>
      <c r="P399" s="9" t="n">
        <v>40</v>
      </c>
      <c r="R399" s="9" t="n">
        <v>1</v>
      </c>
      <c r="T399" s="10" t="n">
        <v>56.7</v>
      </c>
      <c r="U399" s="9" t="n">
        <v>2</v>
      </c>
      <c r="V399" s="3" t="s">
        <v>83</v>
      </c>
      <c r="W399" s="9" t="n">
        <v>1</v>
      </c>
      <c r="Z399" s="3" t="s">
        <v>56</v>
      </c>
      <c r="AA399" s="3" t="s">
        <v>1101</v>
      </c>
      <c r="AB399" s="11" t="n">
        <v>46127</v>
      </c>
    </row>
    <row r="400" customFormat="false" ht="15" hidden="false" customHeight="false" outlineLevel="0" collapsed="false">
      <c r="A400" s="3" t="s">
        <v>1328</v>
      </c>
      <c r="B400" s="3" t="s">
        <v>48</v>
      </c>
      <c r="C400" s="3" t="s">
        <v>370</v>
      </c>
      <c r="E400" s="3" t="s">
        <v>1329</v>
      </c>
      <c r="F400" s="3" t="s">
        <v>1098</v>
      </c>
      <c r="G400" s="3" t="s">
        <v>52</v>
      </c>
      <c r="H400" s="3" t="s">
        <v>1099</v>
      </c>
      <c r="I400" s="3" t="s">
        <v>1330</v>
      </c>
      <c r="M400" s="8" t="n">
        <v>681624</v>
      </c>
      <c r="N400" s="8" t="n">
        <v>667853</v>
      </c>
      <c r="O400" s="9" t="n">
        <v>17.9</v>
      </c>
      <c r="P400" s="9" t="n">
        <v>72</v>
      </c>
      <c r="R400" s="9" t="n">
        <v>1</v>
      </c>
      <c r="T400" s="10" t="n">
        <v>23</v>
      </c>
      <c r="U400" s="9" t="n">
        <v>8</v>
      </c>
      <c r="V400" s="3" t="s">
        <v>83</v>
      </c>
      <c r="W400" s="9" t="n">
        <v>1</v>
      </c>
      <c r="Z400" s="3" t="s">
        <v>56</v>
      </c>
      <c r="AA400" s="3" t="s">
        <v>1101</v>
      </c>
      <c r="AB400" s="11" t="n">
        <v>46127</v>
      </c>
    </row>
    <row r="401" customFormat="false" ht="15" hidden="false" customHeight="false" outlineLevel="0" collapsed="false">
      <c r="A401" s="3" t="s">
        <v>1331</v>
      </c>
      <c r="B401" s="3" t="s">
        <v>48</v>
      </c>
      <c r="C401" s="3" t="s">
        <v>374</v>
      </c>
      <c r="E401" s="3" t="s">
        <v>1332</v>
      </c>
      <c r="F401" s="3" t="s">
        <v>1098</v>
      </c>
      <c r="G401" s="3" t="s">
        <v>52</v>
      </c>
      <c r="H401" s="3" t="s">
        <v>1099</v>
      </c>
      <c r="I401" s="3" t="s">
        <v>1333</v>
      </c>
      <c r="M401" s="8" t="n">
        <v>353704</v>
      </c>
      <c r="N401" s="8" t="n">
        <v>366957</v>
      </c>
      <c r="O401" s="9" t="n">
        <v>5.7</v>
      </c>
      <c r="P401" s="9" t="n">
        <v>44</v>
      </c>
      <c r="R401" s="9" t="n">
        <v>1</v>
      </c>
      <c r="T401" s="10" t="n">
        <v>81.7</v>
      </c>
      <c r="U401" s="9" t="n">
        <v>9</v>
      </c>
      <c r="V401" s="3" t="s">
        <v>83</v>
      </c>
      <c r="W401" s="9" t="n">
        <v>1</v>
      </c>
      <c r="Z401" s="3" t="s">
        <v>56</v>
      </c>
      <c r="AA401" s="3" t="s">
        <v>1101</v>
      </c>
      <c r="AB401" s="11" t="n">
        <v>46127</v>
      </c>
    </row>
    <row r="402" customFormat="false" ht="15" hidden="false" customHeight="false" outlineLevel="0" collapsed="false">
      <c r="A402" s="3" t="s">
        <v>1334</v>
      </c>
      <c r="B402" s="3" t="s">
        <v>378</v>
      </c>
      <c r="C402" s="3" t="s">
        <v>49</v>
      </c>
      <c r="D402" s="3" t="s">
        <v>379</v>
      </c>
      <c r="E402" s="3" t="s">
        <v>1335</v>
      </c>
      <c r="F402" s="3" t="s">
        <v>1098</v>
      </c>
      <c r="G402" s="3" t="s">
        <v>52</v>
      </c>
      <c r="H402" s="3" t="s">
        <v>1099</v>
      </c>
      <c r="I402" s="3" t="s">
        <v>1336</v>
      </c>
      <c r="M402" s="8" t="n">
        <v>386763</v>
      </c>
      <c r="P402" s="9" t="n">
        <v>62</v>
      </c>
      <c r="Q402" s="9" t="n">
        <v>2.8</v>
      </c>
      <c r="R402" s="9" t="n">
        <v>1</v>
      </c>
      <c r="S402" s="8" t="n">
        <v>644545</v>
      </c>
      <c r="T402" s="10" t="n">
        <v>71.7</v>
      </c>
      <c r="U402" s="9" t="n">
        <v>9</v>
      </c>
      <c r="V402" s="3" t="s">
        <v>83</v>
      </c>
      <c r="W402" s="9" t="n">
        <v>1</v>
      </c>
      <c r="Z402" s="3" t="s">
        <v>56</v>
      </c>
      <c r="AA402" s="3" t="s">
        <v>1337</v>
      </c>
      <c r="AB402" s="11" t="n">
        <v>46127</v>
      </c>
    </row>
    <row r="403" customFormat="false" ht="15" hidden="false" customHeight="false" outlineLevel="0" collapsed="false">
      <c r="A403" s="3" t="s">
        <v>1338</v>
      </c>
      <c r="B403" s="3" t="s">
        <v>378</v>
      </c>
      <c r="C403" s="3" t="s">
        <v>59</v>
      </c>
      <c r="D403" s="3" t="s">
        <v>391</v>
      </c>
      <c r="E403" s="3" t="s">
        <v>1339</v>
      </c>
      <c r="F403" s="3" t="s">
        <v>1098</v>
      </c>
      <c r="G403" s="3" t="s">
        <v>52</v>
      </c>
      <c r="H403" s="3" t="s">
        <v>1099</v>
      </c>
      <c r="I403" s="3" t="s">
        <v>1340</v>
      </c>
      <c r="M403" s="8" t="n">
        <v>1170136</v>
      </c>
      <c r="P403" s="9" t="n">
        <v>72</v>
      </c>
      <c r="Q403" s="9" t="n">
        <v>11.8</v>
      </c>
      <c r="R403" s="9" t="n">
        <v>2</v>
      </c>
      <c r="S403" s="8" t="n">
        <v>645124</v>
      </c>
      <c r="T403" s="10" t="n">
        <v>42.8</v>
      </c>
      <c r="U403" s="9" t="n">
        <v>8</v>
      </c>
      <c r="V403" s="3" t="s">
        <v>55</v>
      </c>
      <c r="W403" s="9" t="n">
        <v>1</v>
      </c>
      <c r="Z403" s="3" t="s">
        <v>56</v>
      </c>
      <c r="AA403" s="3" t="s">
        <v>1337</v>
      </c>
      <c r="AB403" s="11" t="n">
        <v>46127</v>
      </c>
    </row>
    <row r="404" customFormat="false" ht="15" hidden="false" customHeight="false" outlineLevel="0" collapsed="false">
      <c r="A404" s="3" t="s">
        <v>1341</v>
      </c>
      <c r="B404" s="3" t="s">
        <v>378</v>
      </c>
      <c r="C404" s="3" t="s">
        <v>64</v>
      </c>
      <c r="D404" s="3" t="s">
        <v>379</v>
      </c>
      <c r="E404" s="3" t="s">
        <v>1342</v>
      </c>
      <c r="F404" s="3" t="s">
        <v>1098</v>
      </c>
      <c r="G404" s="3" t="s">
        <v>52</v>
      </c>
      <c r="H404" s="3" t="s">
        <v>1099</v>
      </c>
      <c r="I404" s="3" t="s">
        <v>1343</v>
      </c>
      <c r="M404" s="8" t="n">
        <v>510898</v>
      </c>
      <c r="P404" s="9" t="n">
        <v>40</v>
      </c>
      <c r="Q404" s="9" t="n">
        <v>25.4</v>
      </c>
      <c r="R404" s="9" t="n">
        <v>1</v>
      </c>
      <c r="S404" s="8" t="n">
        <v>253684</v>
      </c>
      <c r="T404" s="10" t="n">
        <v>77.3</v>
      </c>
      <c r="U404" s="9" t="n">
        <v>7</v>
      </c>
      <c r="V404" s="3" t="s">
        <v>92</v>
      </c>
      <c r="W404" s="9" t="n">
        <v>1</v>
      </c>
      <c r="Z404" s="3" t="s">
        <v>56</v>
      </c>
      <c r="AA404" s="3" t="s">
        <v>1337</v>
      </c>
      <c r="AB404" s="11" t="n">
        <v>46127</v>
      </c>
    </row>
    <row r="405" customFormat="false" ht="15" hidden="false" customHeight="false" outlineLevel="0" collapsed="false">
      <c r="A405" s="3" t="s">
        <v>1344</v>
      </c>
      <c r="B405" s="3" t="s">
        <v>378</v>
      </c>
      <c r="C405" s="3" t="s">
        <v>68</v>
      </c>
      <c r="D405" s="3" t="s">
        <v>384</v>
      </c>
      <c r="E405" s="3" t="s">
        <v>1345</v>
      </c>
      <c r="F405" s="3" t="s">
        <v>1098</v>
      </c>
      <c r="G405" s="3" t="s">
        <v>52</v>
      </c>
      <c r="H405" s="3" t="s">
        <v>1099</v>
      </c>
      <c r="I405" s="3" t="s">
        <v>1346</v>
      </c>
      <c r="M405" s="8" t="n">
        <v>152726</v>
      </c>
      <c r="P405" s="9" t="n">
        <v>67</v>
      </c>
      <c r="Q405" s="9" t="n">
        <v>15.2</v>
      </c>
      <c r="R405" s="9" t="n">
        <v>1</v>
      </c>
      <c r="S405" s="8" t="n">
        <v>404477</v>
      </c>
      <c r="T405" s="10" t="n">
        <v>51.8</v>
      </c>
      <c r="U405" s="9" t="n">
        <v>3</v>
      </c>
      <c r="V405" s="3" t="s">
        <v>55</v>
      </c>
      <c r="W405" s="9" t="n">
        <v>1</v>
      </c>
      <c r="Z405" s="3" t="s">
        <v>56</v>
      </c>
      <c r="AA405" s="3" t="s">
        <v>1337</v>
      </c>
      <c r="AB405" s="11" t="n">
        <v>46127</v>
      </c>
    </row>
    <row r="406" customFormat="false" ht="15" hidden="false" customHeight="false" outlineLevel="0" collapsed="false">
      <c r="A406" s="3" t="s">
        <v>1347</v>
      </c>
      <c r="B406" s="3" t="s">
        <v>378</v>
      </c>
      <c r="C406" s="3" t="s">
        <v>72</v>
      </c>
      <c r="D406" s="3" t="s">
        <v>379</v>
      </c>
      <c r="E406" s="3" t="s">
        <v>1348</v>
      </c>
      <c r="F406" s="3" t="s">
        <v>1098</v>
      </c>
      <c r="G406" s="3" t="s">
        <v>52</v>
      </c>
      <c r="H406" s="3" t="s">
        <v>1099</v>
      </c>
      <c r="I406" s="3" t="s">
        <v>1349</v>
      </c>
      <c r="M406" s="8" t="n">
        <v>386345</v>
      </c>
      <c r="P406" s="9" t="n">
        <v>37</v>
      </c>
      <c r="Q406" s="9" t="n">
        <v>25.6</v>
      </c>
      <c r="R406" s="9" t="n">
        <v>1</v>
      </c>
      <c r="S406" s="8" t="n">
        <v>212771</v>
      </c>
      <c r="T406" s="10" t="n">
        <v>44.6</v>
      </c>
      <c r="U406" s="9" t="n">
        <v>4</v>
      </c>
      <c r="V406" s="3" t="s">
        <v>62</v>
      </c>
      <c r="W406" s="9" t="n">
        <v>1</v>
      </c>
      <c r="Z406" s="3" t="s">
        <v>56</v>
      </c>
      <c r="AA406" s="3" t="s">
        <v>1337</v>
      </c>
      <c r="AB406" s="11" t="n">
        <v>46127</v>
      </c>
    </row>
    <row r="407" customFormat="false" ht="15" hidden="false" customHeight="false" outlineLevel="0" collapsed="false">
      <c r="A407" s="3" t="s">
        <v>1350</v>
      </c>
      <c r="B407" s="3" t="s">
        <v>378</v>
      </c>
      <c r="C407" s="3" t="s">
        <v>76</v>
      </c>
      <c r="D407" s="3" t="s">
        <v>379</v>
      </c>
      <c r="E407" s="3" t="s">
        <v>1351</v>
      </c>
      <c r="F407" s="3" t="s">
        <v>1098</v>
      </c>
      <c r="G407" s="3" t="s">
        <v>52</v>
      </c>
      <c r="H407" s="3" t="s">
        <v>1099</v>
      </c>
      <c r="I407" s="3" t="s">
        <v>1352</v>
      </c>
      <c r="M407" s="8" t="n">
        <v>367084</v>
      </c>
      <c r="P407" s="9" t="n">
        <v>53</v>
      </c>
      <c r="Q407" s="9" t="n">
        <v>4.2</v>
      </c>
      <c r="R407" s="9" t="n">
        <v>1</v>
      </c>
      <c r="S407" s="8" t="n">
        <v>277651</v>
      </c>
      <c r="T407" s="10" t="n">
        <v>18.7</v>
      </c>
      <c r="U407" s="9" t="n">
        <v>10</v>
      </c>
      <c r="V407" s="3" t="s">
        <v>83</v>
      </c>
      <c r="W407" s="9" t="n">
        <v>1</v>
      </c>
      <c r="Z407" s="3" t="s">
        <v>56</v>
      </c>
      <c r="AA407" s="3" t="s">
        <v>1337</v>
      </c>
      <c r="AB407" s="11" t="n">
        <v>46127</v>
      </c>
    </row>
    <row r="408" customFormat="false" ht="15" hidden="false" customHeight="false" outlineLevel="0" collapsed="false">
      <c r="A408" s="3" t="s">
        <v>1353</v>
      </c>
      <c r="B408" s="3" t="s">
        <v>378</v>
      </c>
      <c r="C408" s="3" t="s">
        <v>80</v>
      </c>
      <c r="D408" s="3" t="s">
        <v>384</v>
      </c>
      <c r="E408" s="3" t="s">
        <v>1354</v>
      </c>
      <c r="F408" s="3" t="s">
        <v>1098</v>
      </c>
      <c r="G408" s="3" t="s">
        <v>52</v>
      </c>
      <c r="H408" s="3" t="s">
        <v>1099</v>
      </c>
      <c r="I408" s="3" t="s">
        <v>1355</v>
      </c>
      <c r="M408" s="8" t="n">
        <v>598796</v>
      </c>
      <c r="P408" s="9" t="n">
        <v>67</v>
      </c>
      <c r="Q408" s="9" t="n">
        <v>3.9</v>
      </c>
      <c r="R408" s="9" t="n">
        <v>1</v>
      </c>
      <c r="S408" s="8" t="n">
        <v>981947</v>
      </c>
      <c r="T408" s="10" t="n">
        <v>94.6</v>
      </c>
      <c r="U408" s="9" t="n">
        <v>8</v>
      </c>
      <c r="V408" s="3" t="s">
        <v>55</v>
      </c>
      <c r="W408" s="9" t="n">
        <v>1</v>
      </c>
      <c r="Z408" s="3" t="s">
        <v>56</v>
      </c>
      <c r="AA408" s="3" t="s">
        <v>1337</v>
      </c>
      <c r="AB408" s="11" t="n">
        <v>46127</v>
      </c>
    </row>
    <row r="409" customFormat="false" ht="15" hidden="false" customHeight="false" outlineLevel="0" collapsed="false">
      <c r="A409" s="3" t="s">
        <v>1356</v>
      </c>
      <c r="B409" s="3" t="s">
        <v>378</v>
      </c>
      <c r="C409" s="3" t="s">
        <v>85</v>
      </c>
      <c r="D409" s="3" t="s">
        <v>391</v>
      </c>
      <c r="E409" s="3" t="s">
        <v>1357</v>
      </c>
      <c r="F409" s="3" t="s">
        <v>1098</v>
      </c>
      <c r="G409" s="3" t="s">
        <v>52</v>
      </c>
      <c r="H409" s="3" t="s">
        <v>1099</v>
      </c>
      <c r="I409" s="3" t="s">
        <v>1358</v>
      </c>
      <c r="M409" s="8" t="n">
        <v>285841</v>
      </c>
      <c r="P409" s="9" t="n">
        <v>62</v>
      </c>
      <c r="Q409" s="9" t="n">
        <v>5.9</v>
      </c>
      <c r="R409" s="9" t="n">
        <v>1</v>
      </c>
      <c r="S409" s="8" t="n">
        <v>1037543</v>
      </c>
      <c r="T409" s="10" t="n">
        <v>72.4</v>
      </c>
      <c r="U409" s="9" t="n">
        <v>9</v>
      </c>
      <c r="V409" s="3" t="s">
        <v>62</v>
      </c>
      <c r="W409" s="9" t="n">
        <v>1</v>
      </c>
      <c r="Z409" s="3" t="s">
        <v>56</v>
      </c>
      <c r="AA409" s="3" t="s">
        <v>1337</v>
      </c>
      <c r="AB409" s="11" t="n">
        <v>46127</v>
      </c>
    </row>
    <row r="410" customFormat="false" ht="15" hidden="false" customHeight="false" outlineLevel="0" collapsed="false">
      <c r="A410" s="3" t="s">
        <v>1359</v>
      </c>
      <c r="B410" s="3" t="s">
        <v>378</v>
      </c>
      <c r="C410" s="3" t="s">
        <v>89</v>
      </c>
      <c r="D410" s="3" t="s">
        <v>391</v>
      </c>
      <c r="E410" s="3" t="s">
        <v>1360</v>
      </c>
      <c r="F410" s="3" t="s">
        <v>1098</v>
      </c>
      <c r="G410" s="3" t="s">
        <v>52</v>
      </c>
      <c r="H410" s="3" t="s">
        <v>1099</v>
      </c>
      <c r="I410" s="3" t="s">
        <v>1361</v>
      </c>
      <c r="M410" s="8" t="n">
        <v>826111</v>
      </c>
      <c r="P410" s="9" t="n">
        <v>43</v>
      </c>
      <c r="Q410" s="9" t="n">
        <v>19.7</v>
      </c>
      <c r="R410" s="9" t="n">
        <v>1</v>
      </c>
      <c r="S410" s="8" t="n">
        <v>492734</v>
      </c>
      <c r="T410" s="10" t="n">
        <v>62.9</v>
      </c>
      <c r="U410" s="9" t="n">
        <v>1</v>
      </c>
      <c r="V410" s="3" t="s">
        <v>62</v>
      </c>
      <c r="W410" s="9" t="n">
        <v>1</v>
      </c>
      <c r="Z410" s="3" t="s">
        <v>56</v>
      </c>
      <c r="AA410" s="3" t="s">
        <v>1337</v>
      </c>
      <c r="AB410" s="11" t="n">
        <v>46127</v>
      </c>
    </row>
    <row r="411" customFormat="false" ht="15" hidden="false" customHeight="false" outlineLevel="0" collapsed="false">
      <c r="A411" s="3" t="s">
        <v>1362</v>
      </c>
      <c r="B411" s="3" t="s">
        <v>378</v>
      </c>
      <c r="C411" s="3" t="s">
        <v>94</v>
      </c>
      <c r="D411" s="3" t="s">
        <v>391</v>
      </c>
      <c r="E411" s="3" t="s">
        <v>1363</v>
      </c>
      <c r="F411" s="3" t="s">
        <v>1098</v>
      </c>
      <c r="G411" s="3" t="s">
        <v>52</v>
      </c>
      <c r="H411" s="3" t="s">
        <v>1099</v>
      </c>
      <c r="I411" s="3" t="s">
        <v>1364</v>
      </c>
      <c r="M411" s="8" t="n">
        <v>399314</v>
      </c>
      <c r="P411" s="9" t="n">
        <v>63</v>
      </c>
      <c r="Q411" s="9" t="n">
        <v>20.7</v>
      </c>
      <c r="R411" s="9" t="n">
        <v>1</v>
      </c>
      <c r="S411" s="8" t="n">
        <v>659816</v>
      </c>
      <c r="T411" s="10" t="n">
        <v>38.1</v>
      </c>
      <c r="U411" s="9" t="n">
        <v>10</v>
      </c>
      <c r="V411" s="3" t="s">
        <v>83</v>
      </c>
      <c r="W411" s="9" t="n">
        <v>1</v>
      </c>
      <c r="Z411" s="3" t="s">
        <v>56</v>
      </c>
      <c r="AA411" s="3" t="s">
        <v>1337</v>
      </c>
      <c r="AB411" s="11" t="n">
        <v>46127</v>
      </c>
    </row>
    <row r="412" customFormat="false" ht="15" hidden="false" customHeight="false" outlineLevel="0" collapsed="false">
      <c r="A412" s="3" t="s">
        <v>1365</v>
      </c>
      <c r="B412" s="3" t="s">
        <v>378</v>
      </c>
      <c r="C412" s="3" t="s">
        <v>98</v>
      </c>
      <c r="D412" s="3" t="s">
        <v>379</v>
      </c>
      <c r="E412" s="3" t="s">
        <v>1366</v>
      </c>
      <c r="F412" s="3" t="s">
        <v>1098</v>
      </c>
      <c r="G412" s="3" t="s">
        <v>52</v>
      </c>
      <c r="H412" s="3" t="s">
        <v>1099</v>
      </c>
      <c r="I412" s="3" t="s">
        <v>1367</v>
      </c>
      <c r="M412" s="8" t="n">
        <v>502015</v>
      </c>
      <c r="P412" s="9" t="n">
        <v>47</v>
      </c>
      <c r="Q412" s="9" t="n">
        <v>13.8</v>
      </c>
      <c r="R412" s="9" t="n">
        <v>1</v>
      </c>
      <c r="S412" s="8" t="n">
        <v>674149</v>
      </c>
      <c r="T412" s="10" t="n">
        <v>16.1</v>
      </c>
      <c r="U412" s="9" t="n">
        <v>8</v>
      </c>
      <c r="V412" s="3" t="s">
        <v>92</v>
      </c>
      <c r="W412" s="9" t="n">
        <v>1</v>
      </c>
      <c r="Z412" s="3" t="s">
        <v>56</v>
      </c>
      <c r="AA412" s="3" t="s">
        <v>1337</v>
      </c>
      <c r="AB412" s="11" t="n">
        <v>46127</v>
      </c>
    </row>
    <row r="413" customFormat="false" ht="15" hidden="false" customHeight="false" outlineLevel="0" collapsed="false">
      <c r="A413" s="3" t="s">
        <v>1368</v>
      </c>
      <c r="B413" s="3" t="s">
        <v>378</v>
      </c>
      <c r="C413" s="3" t="s">
        <v>102</v>
      </c>
      <c r="D413" s="3" t="s">
        <v>391</v>
      </c>
      <c r="E413" s="3" t="s">
        <v>1369</v>
      </c>
      <c r="F413" s="3" t="s">
        <v>1098</v>
      </c>
      <c r="G413" s="3" t="s">
        <v>52</v>
      </c>
      <c r="H413" s="3" t="s">
        <v>1099</v>
      </c>
      <c r="I413" s="3" t="s">
        <v>1370</v>
      </c>
      <c r="M413" s="8" t="n">
        <v>237535</v>
      </c>
      <c r="P413" s="9" t="n">
        <v>54</v>
      </c>
      <c r="Q413" s="9" t="n">
        <v>24.8</v>
      </c>
      <c r="R413" s="9" t="n">
        <v>1</v>
      </c>
      <c r="S413" s="8" t="n">
        <v>992462</v>
      </c>
      <c r="T413" s="10" t="n">
        <v>87.2</v>
      </c>
      <c r="U413" s="9" t="n">
        <v>9</v>
      </c>
      <c r="V413" s="3" t="s">
        <v>92</v>
      </c>
      <c r="W413" s="9" t="n">
        <v>1</v>
      </c>
      <c r="Z413" s="3" t="s">
        <v>56</v>
      </c>
      <c r="AA413" s="3" t="s">
        <v>1337</v>
      </c>
      <c r="AB413" s="11" t="n">
        <v>46127</v>
      </c>
    </row>
    <row r="414" customFormat="false" ht="15" hidden="false" customHeight="false" outlineLevel="0" collapsed="false">
      <c r="A414" s="3" t="s">
        <v>1371</v>
      </c>
      <c r="B414" s="3" t="s">
        <v>378</v>
      </c>
      <c r="C414" s="3" t="s">
        <v>106</v>
      </c>
      <c r="D414" s="3" t="s">
        <v>384</v>
      </c>
      <c r="E414" s="3" t="s">
        <v>1372</v>
      </c>
      <c r="F414" s="3" t="s">
        <v>1098</v>
      </c>
      <c r="G414" s="3" t="s">
        <v>52</v>
      </c>
      <c r="H414" s="3" t="s">
        <v>1099</v>
      </c>
      <c r="I414" s="3" t="s">
        <v>1373</v>
      </c>
      <c r="M414" s="8" t="n">
        <v>340135</v>
      </c>
      <c r="P414" s="9" t="n">
        <v>61</v>
      </c>
      <c r="Q414" s="9" t="n">
        <v>4.7</v>
      </c>
      <c r="R414" s="9" t="n">
        <v>1</v>
      </c>
      <c r="S414" s="8" t="n">
        <v>1082041</v>
      </c>
      <c r="T414" s="10" t="n">
        <v>81.5</v>
      </c>
      <c r="U414" s="9" t="n">
        <v>4</v>
      </c>
      <c r="V414" s="3" t="s">
        <v>83</v>
      </c>
      <c r="W414" s="9" t="n">
        <v>1</v>
      </c>
      <c r="Z414" s="3" t="s">
        <v>56</v>
      </c>
      <c r="AA414" s="3" t="s">
        <v>1337</v>
      </c>
      <c r="AB414" s="11" t="n">
        <v>46127</v>
      </c>
    </row>
    <row r="415" customFormat="false" ht="15" hidden="false" customHeight="false" outlineLevel="0" collapsed="false">
      <c r="A415" s="3" t="s">
        <v>1374</v>
      </c>
      <c r="B415" s="3" t="s">
        <v>378</v>
      </c>
      <c r="C415" s="3" t="s">
        <v>110</v>
      </c>
      <c r="D415" s="3" t="s">
        <v>391</v>
      </c>
      <c r="E415" s="3" t="s">
        <v>1375</v>
      </c>
      <c r="F415" s="3" t="s">
        <v>1098</v>
      </c>
      <c r="G415" s="3" t="s">
        <v>52</v>
      </c>
      <c r="H415" s="3" t="s">
        <v>1099</v>
      </c>
      <c r="I415" s="3" t="s">
        <v>1376</v>
      </c>
      <c r="M415" s="8" t="n">
        <v>197411</v>
      </c>
      <c r="P415" s="9" t="n">
        <v>52</v>
      </c>
      <c r="Q415" s="9" t="n">
        <v>21.6</v>
      </c>
      <c r="R415" s="9" t="n">
        <v>1</v>
      </c>
      <c r="S415" s="8" t="n">
        <v>461262</v>
      </c>
      <c r="T415" s="10" t="n">
        <v>75.5</v>
      </c>
      <c r="U415" s="9" t="n">
        <v>3</v>
      </c>
      <c r="V415" s="3" t="s">
        <v>83</v>
      </c>
      <c r="W415" s="9" t="n">
        <v>1</v>
      </c>
      <c r="Z415" s="3" t="s">
        <v>56</v>
      </c>
      <c r="AA415" s="3" t="s">
        <v>1337</v>
      </c>
      <c r="AB415" s="11" t="n">
        <v>46127</v>
      </c>
    </row>
    <row r="416" customFormat="false" ht="15" hidden="false" customHeight="false" outlineLevel="0" collapsed="false">
      <c r="A416" s="3" t="s">
        <v>1377</v>
      </c>
      <c r="B416" s="3" t="s">
        <v>378</v>
      </c>
      <c r="C416" s="3" t="s">
        <v>114</v>
      </c>
      <c r="D416" s="3" t="s">
        <v>379</v>
      </c>
      <c r="E416" s="3" t="s">
        <v>1378</v>
      </c>
      <c r="F416" s="3" t="s">
        <v>1098</v>
      </c>
      <c r="G416" s="3" t="s">
        <v>52</v>
      </c>
      <c r="H416" s="3" t="s">
        <v>1099</v>
      </c>
      <c r="I416" s="3" t="s">
        <v>1379</v>
      </c>
      <c r="M416" s="8" t="n">
        <v>310851</v>
      </c>
      <c r="P416" s="9" t="n">
        <v>39</v>
      </c>
      <c r="Q416" s="9" t="n">
        <v>3.2</v>
      </c>
      <c r="R416" s="9" t="n">
        <v>1</v>
      </c>
      <c r="S416" s="8" t="n">
        <v>391631</v>
      </c>
      <c r="T416" s="10" t="n">
        <v>73.8</v>
      </c>
      <c r="U416" s="9" t="n">
        <v>5</v>
      </c>
      <c r="V416" s="3" t="s">
        <v>55</v>
      </c>
      <c r="W416" s="9" t="n">
        <v>1</v>
      </c>
      <c r="Z416" s="3" t="s">
        <v>56</v>
      </c>
      <c r="AA416" s="3" t="s">
        <v>1337</v>
      </c>
      <c r="AB416" s="11" t="n">
        <v>46127</v>
      </c>
    </row>
    <row r="417" customFormat="false" ht="15" hidden="false" customHeight="false" outlineLevel="0" collapsed="false">
      <c r="A417" s="3" t="s">
        <v>1380</v>
      </c>
      <c r="B417" s="3" t="s">
        <v>378</v>
      </c>
      <c r="C417" s="3" t="s">
        <v>118</v>
      </c>
      <c r="D417" s="3" t="s">
        <v>391</v>
      </c>
      <c r="E417" s="3" t="s">
        <v>1381</v>
      </c>
      <c r="F417" s="3" t="s">
        <v>1098</v>
      </c>
      <c r="G417" s="3" t="s">
        <v>52</v>
      </c>
      <c r="H417" s="3" t="s">
        <v>1099</v>
      </c>
      <c r="I417" s="3" t="s">
        <v>1382</v>
      </c>
      <c r="M417" s="8" t="n">
        <v>301689</v>
      </c>
      <c r="P417" s="9" t="n">
        <v>51</v>
      </c>
      <c r="Q417" s="9" t="n">
        <v>3.6</v>
      </c>
      <c r="R417" s="9" t="n">
        <v>1</v>
      </c>
      <c r="S417" s="8" t="n">
        <v>801545</v>
      </c>
      <c r="T417" s="10" t="n">
        <v>34.5</v>
      </c>
      <c r="U417" s="9" t="n">
        <v>1</v>
      </c>
      <c r="V417" s="3" t="s">
        <v>55</v>
      </c>
      <c r="W417" s="9" t="n">
        <v>1</v>
      </c>
      <c r="Z417" s="3" t="s">
        <v>56</v>
      </c>
      <c r="AA417" s="3" t="s">
        <v>1337</v>
      </c>
      <c r="AB417" s="11" t="n">
        <v>46127</v>
      </c>
    </row>
    <row r="418" customFormat="false" ht="15" hidden="false" customHeight="false" outlineLevel="0" collapsed="false">
      <c r="A418" s="3" t="s">
        <v>1383</v>
      </c>
      <c r="B418" s="3" t="s">
        <v>378</v>
      </c>
      <c r="C418" s="3" t="s">
        <v>122</v>
      </c>
      <c r="D418" s="3" t="s">
        <v>379</v>
      </c>
      <c r="E418" s="3" t="s">
        <v>1384</v>
      </c>
      <c r="F418" s="3" t="s">
        <v>1098</v>
      </c>
      <c r="G418" s="3" t="s">
        <v>52</v>
      </c>
      <c r="H418" s="3" t="s">
        <v>1099</v>
      </c>
      <c r="I418" s="3" t="s">
        <v>1385</v>
      </c>
      <c r="M418" s="8" t="n">
        <v>1100754</v>
      </c>
      <c r="P418" s="9" t="n">
        <v>48</v>
      </c>
      <c r="Q418" s="9" t="n">
        <v>5.8</v>
      </c>
      <c r="R418" s="9" t="n">
        <v>1</v>
      </c>
      <c r="S418" s="8" t="n">
        <v>279633</v>
      </c>
      <c r="T418" s="10" t="n">
        <v>39.1</v>
      </c>
      <c r="U418" s="9" t="n">
        <v>2</v>
      </c>
      <c r="V418" s="3" t="s">
        <v>92</v>
      </c>
      <c r="W418" s="9" t="n">
        <v>1</v>
      </c>
      <c r="Z418" s="3" t="s">
        <v>56</v>
      </c>
      <c r="AA418" s="3" t="s">
        <v>1337</v>
      </c>
      <c r="AB418" s="11" t="n">
        <v>46127</v>
      </c>
    </row>
    <row r="419" customFormat="false" ht="15" hidden="false" customHeight="false" outlineLevel="0" collapsed="false">
      <c r="A419" s="3" t="s">
        <v>1386</v>
      </c>
      <c r="B419" s="3" t="s">
        <v>378</v>
      </c>
      <c r="C419" s="3" t="s">
        <v>126</v>
      </c>
      <c r="D419" s="3" t="s">
        <v>379</v>
      </c>
      <c r="E419" s="3" t="s">
        <v>1387</v>
      </c>
      <c r="F419" s="3" t="s">
        <v>1098</v>
      </c>
      <c r="G419" s="3" t="s">
        <v>52</v>
      </c>
      <c r="H419" s="3" t="s">
        <v>1099</v>
      </c>
      <c r="I419" s="3" t="s">
        <v>1388</v>
      </c>
      <c r="M419" s="8" t="n">
        <v>301896</v>
      </c>
      <c r="P419" s="9" t="n">
        <v>46</v>
      </c>
      <c r="Q419" s="9" t="n">
        <v>19.5</v>
      </c>
      <c r="R419" s="9" t="n">
        <v>1</v>
      </c>
      <c r="S419" s="8" t="n">
        <v>1055621</v>
      </c>
      <c r="T419" s="10" t="n">
        <v>76.5</v>
      </c>
      <c r="U419" s="9" t="n">
        <v>4</v>
      </c>
      <c r="V419" s="3" t="s">
        <v>62</v>
      </c>
      <c r="W419" s="9" t="n">
        <v>1</v>
      </c>
      <c r="Z419" s="3" t="s">
        <v>56</v>
      </c>
      <c r="AA419" s="3" t="s">
        <v>1337</v>
      </c>
      <c r="AB419" s="11" t="n">
        <v>46127</v>
      </c>
    </row>
    <row r="420" customFormat="false" ht="15" hidden="false" customHeight="false" outlineLevel="0" collapsed="false">
      <c r="A420" s="3" t="s">
        <v>1389</v>
      </c>
      <c r="B420" s="3" t="s">
        <v>378</v>
      </c>
      <c r="C420" s="3" t="s">
        <v>130</v>
      </c>
      <c r="D420" s="3" t="s">
        <v>384</v>
      </c>
      <c r="E420" s="3" t="s">
        <v>1390</v>
      </c>
      <c r="F420" s="3" t="s">
        <v>1098</v>
      </c>
      <c r="G420" s="3" t="s">
        <v>52</v>
      </c>
      <c r="H420" s="3" t="s">
        <v>1099</v>
      </c>
      <c r="I420" s="3" t="s">
        <v>1391</v>
      </c>
      <c r="M420" s="8" t="n">
        <v>749535</v>
      </c>
      <c r="P420" s="9" t="n">
        <v>50</v>
      </c>
      <c r="Q420" s="9" t="n">
        <v>24.8</v>
      </c>
      <c r="R420" s="9" t="n">
        <v>1</v>
      </c>
      <c r="S420" s="8" t="n">
        <v>569407</v>
      </c>
      <c r="T420" s="10" t="n">
        <v>57.8</v>
      </c>
      <c r="U420" s="9" t="n">
        <v>1</v>
      </c>
      <c r="V420" s="3" t="s">
        <v>83</v>
      </c>
      <c r="W420" s="9" t="n">
        <v>1</v>
      </c>
      <c r="Z420" s="3" t="s">
        <v>56</v>
      </c>
      <c r="AA420" s="3" t="s">
        <v>1337</v>
      </c>
      <c r="AB420" s="11" t="n">
        <v>46127</v>
      </c>
    </row>
    <row r="421" customFormat="false" ht="15" hidden="false" customHeight="false" outlineLevel="0" collapsed="false">
      <c r="A421" s="3" t="s">
        <v>1392</v>
      </c>
      <c r="B421" s="3" t="s">
        <v>378</v>
      </c>
      <c r="C421" s="3" t="s">
        <v>134</v>
      </c>
      <c r="D421" s="3" t="s">
        <v>384</v>
      </c>
      <c r="E421" s="3" t="s">
        <v>1393</v>
      </c>
      <c r="F421" s="3" t="s">
        <v>1098</v>
      </c>
      <c r="G421" s="3" t="s">
        <v>52</v>
      </c>
      <c r="H421" s="3" t="s">
        <v>1099</v>
      </c>
      <c r="I421" s="3" t="s">
        <v>1394</v>
      </c>
      <c r="M421" s="8" t="n">
        <v>260288</v>
      </c>
      <c r="P421" s="9" t="n">
        <v>42</v>
      </c>
      <c r="Q421" s="9" t="n">
        <v>17.8</v>
      </c>
      <c r="R421" s="9" t="n">
        <v>1</v>
      </c>
      <c r="S421" s="8" t="n">
        <v>710881</v>
      </c>
      <c r="T421" s="10" t="n">
        <v>79.1</v>
      </c>
      <c r="U421" s="9" t="n">
        <v>7</v>
      </c>
      <c r="V421" s="3" t="s">
        <v>83</v>
      </c>
      <c r="W421" s="9" t="n">
        <v>1</v>
      </c>
      <c r="Z421" s="3" t="s">
        <v>56</v>
      </c>
      <c r="AA421" s="3" t="s">
        <v>1337</v>
      </c>
      <c r="AB421" s="11" t="n">
        <v>46127</v>
      </c>
    </row>
    <row r="422" customFormat="false" ht="15" hidden="false" customHeight="false" outlineLevel="0" collapsed="false">
      <c r="A422" s="3" t="s">
        <v>1395</v>
      </c>
      <c r="B422" s="3" t="s">
        <v>378</v>
      </c>
      <c r="C422" s="3" t="s">
        <v>138</v>
      </c>
      <c r="D422" s="3" t="s">
        <v>384</v>
      </c>
      <c r="E422" s="3" t="s">
        <v>1396</v>
      </c>
      <c r="F422" s="3" t="s">
        <v>1098</v>
      </c>
      <c r="G422" s="3" t="s">
        <v>52</v>
      </c>
      <c r="H422" s="3" t="s">
        <v>1099</v>
      </c>
      <c r="I422" s="3" t="s">
        <v>1397</v>
      </c>
      <c r="M422" s="8" t="n">
        <v>450912</v>
      </c>
      <c r="P422" s="9" t="n">
        <v>50</v>
      </c>
      <c r="Q422" s="9" t="n">
        <v>28</v>
      </c>
      <c r="R422" s="9" t="n">
        <v>3</v>
      </c>
      <c r="S422" s="8" t="n">
        <v>379522</v>
      </c>
      <c r="T422" s="10" t="n">
        <v>51.2</v>
      </c>
      <c r="U422" s="9" t="n">
        <v>7</v>
      </c>
      <c r="V422" s="3" t="s">
        <v>92</v>
      </c>
      <c r="W422" s="9" t="n">
        <v>1</v>
      </c>
      <c r="Z422" s="3" t="s">
        <v>56</v>
      </c>
      <c r="AA422" s="3" t="s">
        <v>1337</v>
      </c>
      <c r="AB422" s="11" t="n">
        <v>46127</v>
      </c>
    </row>
    <row r="423" customFormat="false" ht="15" hidden="false" customHeight="false" outlineLevel="0" collapsed="false">
      <c r="A423" s="3" t="s">
        <v>1398</v>
      </c>
      <c r="B423" s="3" t="s">
        <v>378</v>
      </c>
      <c r="C423" s="3" t="s">
        <v>142</v>
      </c>
      <c r="D423" s="3" t="s">
        <v>391</v>
      </c>
      <c r="E423" s="3" t="s">
        <v>1399</v>
      </c>
      <c r="F423" s="3" t="s">
        <v>1098</v>
      </c>
      <c r="G423" s="3" t="s">
        <v>52</v>
      </c>
      <c r="H423" s="3" t="s">
        <v>1099</v>
      </c>
      <c r="I423" s="3" t="s">
        <v>1400</v>
      </c>
      <c r="M423" s="8" t="n">
        <v>250977</v>
      </c>
      <c r="P423" s="9" t="n">
        <v>75</v>
      </c>
      <c r="Q423" s="9" t="n">
        <v>28.9</v>
      </c>
      <c r="R423" s="9" t="n">
        <v>1</v>
      </c>
      <c r="S423" s="8" t="n">
        <v>353232</v>
      </c>
      <c r="T423" s="10" t="n">
        <v>77.1</v>
      </c>
      <c r="U423" s="9" t="n">
        <v>10</v>
      </c>
      <c r="V423" s="3" t="s">
        <v>83</v>
      </c>
      <c r="W423" s="9" t="n">
        <v>1</v>
      </c>
      <c r="Z423" s="3" t="s">
        <v>56</v>
      </c>
      <c r="AA423" s="3" t="s">
        <v>1337</v>
      </c>
      <c r="AB423" s="11" t="n">
        <v>46127</v>
      </c>
    </row>
    <row r="424" customFormat="false" ht="15" hidden="false" customHeight="false" outlineLevel="0" collapsed="false">
      <c r="A424" s="3" t="s">
        <v>1401</v>
      </c>
      <c r="B424" s="3" t="s">
        <v>378</v>
      </c>
      <c r="C424" s="3" t="s">
        <v>146</v>
      </c>
      <c r="D424" s="3" t="s">
        <v>391</v>
      </c>
      <c r="E424" s="3" t="s">
        <v>1402</v>
      </c>
      <c r="F424" s="3" t="s">
        <v>1098</v>
      </c>
      <c r="G424" s="3" t="s">
        <v>52</v>
      </c>
      <c r="H424" s="3" t="s">
        <v>1099</v>
      </c>
      <c r="I424" s="3" t="s">
        <v>1403</v>
      </c>
      <c r="M424" s="8" t="n">
        <v>326368</v>
      </c>
      <c r="P424" s="9" t="n">
        <v>39</v>
      </c>
      <c r="Q424" s="9" t="n">
        <v>27.7</v>
      </c>
      <c r="R424" s="9" t="n">
        <v>1</v>
      </c>
      <c r="S424" s="8" t="n">
        <v>646684</v>
      </c>
      <c r="T424" s="10" t="n">
        <v>57.1</v>
      </c>
      <c r="U424" s="9" t="n">
        <v>4</v>
      </c>
      <c r="V424" s="3" t="s">
        <v>55</v>
      </c>
      <c r="W424" s="9" t="n">
        <v>1</v>
      </c>
      <c r="Z424" s="3" t="s">
        <v>56</v>
      </c>
      <c r="AA424" s="3" t="s">
        <v>1337</v>
      </c>
      <c r="AB424" s="11" t="n">
        <v>46127</v>
      </c>
    </row>
    <row r="425" customFormat="false" ht="15" hidden="false" customHeight="false" outlineLevel="0" collapsed="false">
      <c r="A425" s="3" t="s">
        <v>1404</v>
      </c>
      <c r="B425" s="3" t="s">
        <v>378</v>
      </c>
      <c r="C425" s="3" t="s">
        <v>150</v>
      </c>
      <c r="D425" s="3" t="s">
        <v>379</v>
      </c>
      <c r="E425" s="3" t="s">
        <v>1405</v>
      </c>
      <c r="F425" s="3" t="s">
        <v>1098</v>
      </c>
      <c r="G425" s="3" t="s">
        <v>52</v>
      </c>
      <c r="H425" s="3" t="s">
        <v>1099</v>
      </c>
      <c r="I425" s="3" t="s">
        <v>1406</v>
      </c>
      <c r="M425" s="8" t="n">
        <v>530537</v>
      </c>
      <c r="P425" s="9" t="n">
        <v>76</v>
      </c>
      <c r="Q425" s="9" t="n">
        <v>11.1</v>
      </c>
      <c r="R425" s="9" t="n">
        <v>1</v>
      </c>
      <c r="S425" s="8" t="n">
        <v>123989</v>
      </c>
      <c r="T425" s="10" t="n">
        <v>26.9</v>
      </c>
      <c r="U425" s="9" t="n">
        <v>6</v>
      </c>
      <c r="V425" s="3" t="s">
        <v>83</v>
      </c>
      <c r="W425" s="9" t="n">
        <v>1</v>
      </c>
      <c r="Z425" s="3" t="s">
        <v>56</v>
      </c>
      <c r="AA425" s="3" t="s">
        <v>1337</v>
      </c>
      <c r="AB425" s="11" t="n">
        <v>46127</v>
      </c>
    </row>
    <row r="426" customFormat="false" ht="15" hidden="false" customHeight="false" outlineLevel="0" collapsed="false">
      <c r="A426" s="3" t="s">
        <v>1407</v>
      </c>
      <c r="B426" s="3" t="s">
        <v>378</v>
      </c>
      <c r="C426" s="3" t="s">
        <v>154</v>
      </c>
      <c r="D426" s="3" t="s">
        <v>379</v>
      </c>
      <c r="E426" s="3" t="s">
        <v>1408</v>
      </c>
      <c r="F426" s="3" t="s">
        <v>1098</v>
      </c>
      <c r="G426" s="3" t="s">
        <v>52</v>
      </c>
      <c r="H426" s="3" t="s">
        <v>1099</v>
      </c>
      <c r="I426" s="3" t="s">
        <v>1409</v>
      </c>
      <c r="M426" s="8" t="n">
        <v>325864</v>
      </c>
      <c r="P426" s="9" t="n">
        <v>35</v>
      </c>
      <c r="Q426" s="9" t="n">
        <v>10.9</v>
      </c>
      <c r="R426" s="9" t="n">
        <v>1</v>
      </c>
      <c r="S426" s="8" t="n">
        <v>200592</v>
      </c>
      <c r="T426" s="10" t="n">
        <v>79.2</v>
      </c>
      <c r="U426" s="9" t="n">
        <v>4</v>
      </c>
      <c r="V426" s="3" t="s">
        <v>62</v>
      </c>
      <c r="W426" s="9" t="n">
        <v>1</v>
      </c>
      <c r="Z426" s="3" t="s">
        <v>56</v>
      </c>
      <c r="AA426" s="3" t="s">
        <v>1337</v>
      </c>
      <c r="AB426" s="11" t="n">
        <v>46127</v>
      </c>
    </row>
    <row r="427" customFormat="false" ht="15" hidden="false" customHeight="false" outlineLevel="0" collapsed="false">
      <c r="A427" s="3" t="s">
        <v>1410</v>
      </c>
      <c r="B427" s="3" t="s">
        <v>378</v>
      </c>
      <c r="C427" s="3" t="s">
        <v>158</v>
      </c>
      <c r="D427" s="3" t="s">
        <v>379</v>
      </c>
      <c r="E427" s="3" t="s">
        <v>1411</v>
      </c>
      <c r="F427" s="3" t="s">
        <v>1098</v>
      </c>
      <c r="G427" s="3" t="s">
        <v>52</v>
      </c>
      <c r="H427" s="3" t="s">
        <v>1099</v>
      </c>
      <c r="I427" s="3" t="s">
        <v>1412</v>
      </c>
      <c r="M427" s="8" t="n">
        <v>604962</v>
      </c>
      <c r="P427" s="9" t="n">
        <v>47</v>
      </c>
      <c r="Q427" s="9" t="n">
        <v>6.6</v>
      </c>
      <c r="R427" s="9" t="n">
        <v>3</v>
      </c>
      <c r="S427" s="8" t="n">
        <v>164377</v>
      </c>
      <c r="T427" s="10" t="n">
        <v>18.9</v>
      </c>
      <c r="U427" s="9" t="n">
        <v>3</v>
      </c>
      <c r="V427" s="3" t="s">
        <v>55</v>
      </c>
      <c r="W427" s="9" t="n">
        <v>1</v>
      </c>
      <c r="Z427" s="3" t="s">
        <v>56</v>
      </c>
      <c r="AA427" s="3" t="s">
        <v>1337</v>
      </c>
      <c r="AB427" s="11" t="n">
        <v>46127</v>
      </c>
    </row>
    <row r="428" customFormat="false" ht="15" hidden="false" customHeight="false" outlineLevel="0" collapsed="false">
      <c r="A428" s="3" t="s">
        <v>1413</v>
      </c>
      <c r="B428" s="3" t="s">
        <v>378</v>
      </c>
      <c r="C428" s="3" t="s">
        <v>162</v>
      </c>
      <c r="D428" s="3" t="s">
        <v>384</v>
      </c>
      <c r="E428" s="3" t="s">
        <v>1414</v>
      </c>
      <c r="F428" s="3" t="s">
        <v>1098</v>
      </c>
      <c r="G428" s="3" t="s">
        <v>52</v>
      </c>
      <c r="H428" s="3" t="s">
        <v>1099</v>
      </c>
      <c r="I428" s="3" t="s">
        <v>1415</v>
      </c>
      <c r="M428" s="8" t="n">
        <v>115210</v>
      </c>
      <c r="P428" s="9" t="n">
        <v>37</v>
      </c>
      <c r="Q428" s="9" t="n">
        <v>5.3</v>
      </c>
      <c r="R428" s="9" t="n">
        <v>1</v>
      </c>
      <c r="S428" s="8" t="n">
        <v>170957</v>
      </c>
      <c r="T428" s="10" t="n">
        <v>68.2</v>
      </c>
      <c r="U428" s="9" t="n">
        <v>8</v>
      </c>
      <c r="V428" s="3" t="s">
        <v>92</v>
      </c>
      <c r="W428" s="9" t="n">
        <v>1</v>
      </c>
      <c r="Z428" s="3" t="s">
        <v>56</v>
      </c>
      <c r="AA428" s="3" t="s">
        <v>1337</v>
      </c>
      <c r="AB428" s="11" t="n">
        <v>46127</v>
      </c>
    </row>
    <row r="429" customFormat="false" ht="15" hidden="false" customHeight="false" outlineLevel="0" collapsed="false">
      <c r="A429" s="3" t="s">
        <v>1416</v>
      </c>
      <c r="B429" s="3" t="s">
        <v>378</v>
      </c>
      <c r="C429" s="3" t="s">
        <v>166</v>
      </c>
      <c r="D429" s="3" t="s">
        <v>391</v>
      </c>
      <c r="E429" s="3" t="s">
        <v>649</v>
      </c>
      <c r="F429" s="3" t="s">
        <v>1098</v>
      </c>
      <c r="G429" s="3" t="s">
        <v>52</v>
      </c>
      <c r="H429" s="3" t="s">
        <v>1099</v>
      </c>
      <c r="I429" s="3" t="s">
        <v>1417</v>
      </c>
      <c r="M429" s="8" t="n">
        <v>234342</v>
      </c>
      <c r="P429" s="9" t="n">
        <v>53</v>
      </c>
      <c r="Q429" s="9" t="n">
        <v>17.1</v>
      </c>
      <c r="R429" s="9" t="n">
        <v>1</v>
      </c>
      <c r="S429" s="8" t="n">
        <v>210856</v>
      </c>
      <c r="T429" s="10" t="n">
        <v>25.1</v>
      </c>
      <c r="U429" s="9" t="n">
        <v>8</v>
      </c>
      <c r="V429" s="3" t="s">
        <v>92</v>
      </c>
      <c r="W429" s="9" t="n">
        <v>1</v>
      </c>
      <c r="Z429" s="3" t="s">
        <v>56</v>
      </c>
      <c r="AA429" s="3" t="s">
        <v>1337</v>
      </c>
      <c r="AB429" s="11" t="n">
        <v>46127</v>
      </c>
    </row>
    <row r="430" customFormat="false" ht="15" hidden="false" customHeight="false" outlineLevel="0" collapsed="false">
      <c r="A430" s="3" t="s">
        <v>1418</v>
      </c>
      <c r="B430" s="3" t="s">
        <v>378</v>
      </c>
      <c r="C430" s="3" t="s">
        <v>170</v>
      </c>
      <c r="D430" s="3" t="s">
        <v>391</v>
      </c>
      <c r="E430" s="3" t="s">
        <v>1419</v>
      </c>
      <c r="F430" s="3" t="s">
        <v>1098</v>
      </c>
      <c r="G430" s="3" t="s">
        <v>52</v>
      </c>
      <c r="H430" s="3" t="s">
        <v>1099</v>
      </c>
      <c r="I430" s="3" t="s">
        <v>1420</v>
      </c>
      <c r="M430" s="8" t="n">
        <v>637201</v>
      </c>
      <c r="P430" s="9" t="n">
        <v>65</v>
      </c>
      <c r="Q430" s="9" t="n">
        <v>21.2</v>
      </c>
      <c r="R430" s="9" t="n">
        <v>1</v>
      </c>
      <c r="S430" s="8" t="n">
        <v>594209</v>
      </c>
      <c r="T430" s="10" t="n">
        <v>17.8</v>
      </c>
      <c r="U430" s="9" t="n">
        <v>2</v>
      </c>
      <c r="V430" s="3" t="s">
        <v>92</v>
      </c>
      <c r="W430" s="9" t="n">
        <v>1</v>
      </c>
      <c r="Z430" s="3" t="s">
        <v>56</v>
      </c>
      <c r="AA430" s="3" t="s">
        <v>1337</v>
      </c>
      <c r="AB430" s="11" t="n">
        <v>46127</v>
      </c>
    </row>
    <row r="431" customFormat="false" ht="15" hidden="false" customHeight="false" outlineLevel="0" collapsed="false">
      <c r="A431" s="3" t="s">
        <v>1421</v>
      </c>
      <c r="B431" s="3" t="s">
        <v>378</v>
      </c>
      <c r="C431" s="3" t="s">
        <v>174</v>
      </c>
      <c r="D431" s="3" t="s">
        <v>379</v>
      </c>
      <c r="E431" s="3" t="s">
        <v>1422</v>
      </c>
      <c r="F431" s="3" t="s">
        <v>1098</v>
      </c>
      <c r="G431" s="3" t="s">
        <v>52</v>
      </c>
      <c r="H431" s="3" t="s">
        <v>1099</v>
      </c>
      <c r="I431" s="3" t="s">
        <v>1423</v>
      </c>
      <c r="M431" s="8" t="n">
        <v>174062</v>
      </c>
      <c r="P431" s="9" t="n">
        <v>49</v>
      </c>
      <c r="Q431" s="9" t="n">
        <v>29.7</v>
      </c>
      <c r="R431" s="9" t="n">
        <v>1</v>
      </c>
      <c r="S431" s="8" t="n">
        <v>203419</v>
      </c>
      <c r="T431" s="10" t="n">
        <v>16.8</v>
      </c>
      <c r="U431" s="9" t="n">
        <v>9</v>
      </c>
      <c r="V431" s="3" t="s">
        <v>62</v>
      </c>
      <c r="W431" s="9" t="n">
        <v>1</v>
      </c>
      <c r="Z431" s="3" t="s">
        <v>56</v>
      </c>
      <c r="AA431" s="3" t="s">
        <v>1337</v>
      </c>
      <c r="AB431" s="11" t="n">
        <v>46127</v>
      </c>
    </row>
    <row r="432" customFormat="false" ht="15" hidden="false" customHeight="false" outlineLevel="0" collapsed="false">
      <c r="A432" s="3" t="s">
        <v>1424</v>
      </c>
      <c r="B432" s="3" t="s">
        <v>378</v>
      </c>
      <c r="C432" s="3" t="s">
        <v>178</v>
      </c>
      <c r="D432" s="3" t="s">
        <v>391</v>
      </c>
      <c r="E432" s="3" t="s">
        <v>425</v>
      </c>
      <c r="F432" s="3" t="s">
        <v>1098</v>
      </c>
      <c r="G432" s="3" t="s">
        <v>52</v>
      </c>
      <c r="H432" s="3" t="s">
        <v>1099</v>
      </c>
      <c r="I432" s="3" t="s">
        <v>1425</v>
      </c>
      <c r="M432" s="8" t="n">
        <v>595199</v>
      </c>
      <c r="P432" s="9" t="n">
        <v>35</v>
      </c>
      <c r="Q432" s="9" t="n">
        <v>11</v>
      </c>
      <c r="R432" s="9" t="n">
        <v>1</v>
      </c>
      <c r="S432" s="8" t="n">
        <v>259259</v>
      </c>
      <c r="T432" s="10" t="n">
        <v>44.7</v>
      </c>
      <c r="U432" s="9" t="n">
        <v>6</v>
      </c>
      <c r="V432" s="3" t="s">
        <v>83</v>
      </c>
      <c r="W432" s="9" t="n">
        <v>1</v>
      </c>
      <c r="Z432" s="3" t="s">
        <v>56</v>
      </c>
      <c r="AA432" s="3" t="s">
        <v>1337</v>
      </c>
      <c r="AB432" s="11" t="n">
        <v>46127</v>
      </c>
    </row>
    <row r="433" customFormat="false" ht="15" hidden="false" customHeight="false" outlineLevel="0" collapsed="false">
      <c r="A433" s="3" t="s">
        <v>1426</v>
      </c>
      <c r="B433" s="3" t="s">
        <v>378</v>
      </c>
      <c r="C433" s="3" t="s">
        <v>182</v>
      </c>
      <c r="D433" s="3" t="s">
        <v>379</v>
      </c>
      <c r="E433" s="3" t="s">
        <v>1427</v>
      </c>
      <c r="F433" s="3" t="s">
        <v>1098</v>
      </c>
      <c r="G433" s="3" t="s">
        <v>52</v>
      </c>
      <c r="H433" s="3" t="s">
        <v>1099</v>
      </c>
      <c r="I433" s="3" t="s">
        <v>1428</v>
      </c>
      <c r="M433" s="8" t="n">
        <v>144139</v>
      </c>
      <c r="P433" s="9" t="n">
        <v>68</v>
      </c>
      <c r="Q433" s="9" t="n">
        <v>2.4</v>
      </c>
      <c r="R433" s="9" t="n">
        <v>1</v>
      </c>
      <c r="S433" s="8" t="n">
        <v>531573</v>
      </c>
      <c r="T433" s="10" t="n">
        <v>16.5</v>
      </c>
      <c r="U433" s="9" t="n">
        <v>9</v>
      </c>
      <c r="V433" s="3" t="s">
        <v>92</v>
      </c>
      <c r="W433" s="9" t="n">
        <v>1</v>
      </c>
      <c r="Z433" s="3" t="s">
        <v>56</v>
      </c>
      <c r="AA433" s="3" t="s">
        <v>1337</v>
      </c>
      <c r="AB433" s="11" t="n">
        <v>46127</v>
      </c>
    </row>
    <row r="434" customFormat="false" ht="15" hidden="false" customHeight="false" outlineLevel="0" collapsed="false">
      <c r="A434" s="3" t="s">
        <v>1429</v>
      </c>
      <c r="B434" s="3" t="s">
        <v>378</v>
      </c>
      <c r="C434" s="3" t="s">
        <v>186</v>
      </c>
      <c r="D434" s="3" t="s">
        <v>379</v>
      </c>
      <c r="E434" s="3" t="s">
        <v>1430</v>
      </c>
      <c r="F434" s="3" t="s">
        <v>1098</v>
      </c>
      <c r="G434" s="3" t="s">
        <v>52</v>
      </c>
      <c r="H434" s="3" t="s">
        <v>1099</v>
      </c>
      <c r="I434" s="3" t="s">
        <v>1431</v>
      </c>
      <c r="M434" s="8" t="n">
        <v>237337</v>
      </c>
      <c r="P434" s="9" t="n">
        <v>69</v>
      </c>
      <c r="Q434" s="9" t="n">
        <v>15.6</v>
      </c>
      <c r="R434" s="9" t="n">
        <v>1</v>
      </c>
      <c r="S434" s="8" t="n">
        <v>581820</v>
      </c>
      <c r="T434" s="10" t="n">
        <v>59.3</v>
      </c>
      <c r="U434" s="9" t="n">
        <v>1</v>
      </c>
      <c r="V434" s="3" t="s">
        <v>55</v>
      </c>
      <c r="W434" s="9" t="n">
        <v>1</v>
      </c>
      <c r="Z434" s="3" t="s">
        <v>56</v>
      </c>
      <c r="AA434" s="3" t="s">
        <v>1337</v>
      </c>
      <c r="AB434" s="11" t="n">
        <v>46127</v>
      </c>
    </row>
    <row r="435" customFormat="false" ht="15" hidden="false" customHeight="false" outlineLevel="0" collapsed="false">
      <c r="A435" s="3" t="s">
        <v>1432</v>
      </c>
      <c r="B435" s="3" t="s">
        <v>378</v>
      </c>
      <c r="C435" s="3" t="s">
        <v>190</v>
      </c>
      <c r="D435" s="3" t="s">
        <v>384</v>
      </c>
      <c r="E435" s="3" t="s">
        <v>1433</v>
      </c>
      <c r="F435" s="3" t="s">
        <v>1098</v>
      </c>
      <c r="G435" s="3" t="s">
        <v>52</v>
      </c>
      <c r="H435" s="3" t="s">
        <v>1099</v>
      </c>
      <c r="I435" s="3" t="s">
        <v>1434</v>
      </c>
      <c r="M435" s="8" t="n">
        <v>596169</v>
      </c>
      <c r="P435" s="9" t="n">
        <v>40</v>
      </c>
      <c r="Q435" s="9" t="n">
        <v>13.9</v>
      </c>
      <c r="R435" s="9" t="n">
        <v>1</v>
      </c>
      <c r="S435" s="8" t="n">
        <v>737723</v>
      </c>
      <c r="T435" s="10" t="n">
        <v>36.8</v>
      </c>
      <c r="U435" s="9" t="n">
        <v>5</v>
      </c>
      <c r="V435" s="3" t="s">
        <v>55</v>
      </c>
      <c r="W435" s="9" t="n">
        <v>1</v>
      </c>
      <c r="Z435" s="3" t="s">
        <v>56</v>
      </c>
      <c r="AA435" s="3" t="s">
        <v>1337</v>
      </c>
      <c r="AB435" s="11" t="n">
        <v>46127</v>
      </c>
    </row>
    <row r="436" customFormat="false" ht="15" hidden="false" customHeight="false" outlineLevel="0" collapsed="false">
      <c r="A436" s="3" t="s">
        <v>1435</v>
      </c>
      <c r="B436" s="3" t="s">
        <v>378</v>
      </c>
      <c r="C436" s="3" t="s">
        <v>194</v>
      </c>
      <c r="D436" s="3" t="s">
        <v>384</v>
      </c>
      <c r="E436" s="3" t="s">
        <v>1436</v>
      </c>
      <c r="F436" s="3" t="s">
        <v>1098</v>
      </c>
      <c r="G436" s="3" t="s">
        <v>52</v>
      </c>
      <c r="H436" s="3" t="s">
        <v>1099</v>
      </c>
      <c r="I436" s="3" t="s">
        <v>1437</v>
      </c>
      <c r="M436" s="8" t="n">
        <v>376273</v>
      </c>
      <c r="P436" s="9" t="n">
        <v>37</v>
      </c>
      <c r="Q436" s="9" t="n">
        <v>13.7</v>
      </c>
      <c r="R436" s="9" t="n">
        <v>1</v>
      </c>
      <c r="S436" s="8" t="n">
        <v>669620</v>
      </c>
      <c r="T436" s="10" t="n">
        <v>15</v>
      </c>
      <c r="U436" s="9" t="n">
        <v>6</v>
      </c>
      <c r="V436" s="3" t="s">
        <v>92</v>
      </c>
      <c r="W436" s="9" t="n">
        <v>1</v>
      </c>
      <c r="Z436" s="3" t="s">
        <v>56</v>
      </c>
      <c r="AA436" s="3" t="s">
        <v>1337</v>
      </c>
      <c r="AB436" s="11" t="n">
        <v>46127</v>
      </c>
    </row>
    <row r="437" customFormat="false" ht="15" hidden="false" customHeight="false" outlineLevel="0" collapsed="false">
      <c r="A437" s="3" t="s">
        <v>1438</v>
      </c>
      <c r="B437" s="3" t="s">
        <v>378</v>
      </c>
      <c r="C437" s="3" t="s">
        <v>198</v>
      </c>
      <c r="D437" s="3" t="s">
        <v>379</v>
      </c>
      <c r="E437" s="3" t="s">
        <v>1067</v>
      </c>
      <c r="F437" s="3" t="s">
        <v>1098</v>
      </c>
      <c r="G437" s="3" t="s">
        <v>52</v>
      </c>
      <c r="H437" s="3" t="s">
        <v>1099</v>
      </c>
      <c r="I437" s="3" t="s">
        <v>1439</v>
      </c>
      <c r="M437" s="8" t="n">
        <v>670407</v>
      </c>
      <c r="P437" s="9" t="n">
        <v>77</v>
      </c>
      <c r="Q437" s="9" t="n">
        <v>3.9</v>
      </c>
      <c r="R437" s="9" t="n">
        <v>1</v>
      </c>
      <c r="S437" s="8" t="n">
        <v>904012</v>
      </c>
      <c r="T437" s="10" t="n">
        <v>84.7</v>
      </c>
      <c r="U437" s="9" t="n">
        <v>5</v>
      </c>
      <c r="V437" s="3" t="s">
        <v>62</v>
      </c>
      <c r="W437" s="9" t="n">
        <v>1</v>
      </c>
      <c r="Z437" s="3" t="s">
        <v>56</v>
      </c>
      <c r="AA437" s="3" t="s">
        <v>1337</v>
      </c>
      <c r="AB437" s="11" t="n">
        <v>46127</v>
      </c>
    </row>
    <row r="438" customFormat="false" ht="15" hidden="false" customHeight="false" outlineLevel="0" collapsed="false">
      <c r="A438" s="3" t="s">
        <v>1440</v>
      </c>
      <c r="B438" s="3" t="s">
        <v>378</v>
      </c>
      <c r="C438" s="3" t="s">
        <v>202</v>
      </c>
      <c r="D438" s="3" t="s">
        <v>391</v>
      </c>
      <c r="E438" s="3" t="s">
        <v>1441</v>
      </c>
      <c r="F438" s="3" t="s">
        <v>1098</v>
      </c>
      <c r="G438" s="3" t="s">
        <v>52</v>
      </c>
      <c r="H438" s="3" t="s">
        <v>1099</v>
      </c>
      <c r="I438" s="3" t="s">
        <v>1442</v>
      </c>
      <c r="M438" s="8" t="n">
        <v>211423</v>
      </c>
      <c r="P438" s="9" t="n">
        <v>49</v>
      </c>
      <c r="Q438" s="9" t="n">
        <v>27.8</v>
      </c>
      <c r="R438" s="9" t="n">
        <v>1</v>
      </c>
      <c r="S438" s="8" t="n">
        <v>173419</v>
      </c>
      <c r="T438" s="10" t="n">
        <v>35</v>
      </c>
      <c r="U438" s="9" t="n">
        <v>1</v>
      </c>
      <c r="V438" s="3" t="s">
        <v>83</v>
      </c>
      <c r="W438" s="9" t="n">
        <v>1</v>
      </c>
      <c r="Z438" s="3" t="s">
        <v>56</v>
      </c>
      <c r="AA438" s="3" t="s">
        <v>1337</v>
      </c>
      <c r="AB438" s="11" t="n">
        <v>46127</v>
      </c>
    </row>
    <row r="439" customFormat="false" ht="15" hidden="false" customHeight="false" outlineLevel="0" collapsed="false">
      <c r="A439" s="3" t="s">
        <v>1443</v>
      </c>
      <c r="B439" s="3" t="s">
        <v>378</v>
      </c>
      <c r="C439" s="3" t="s">
        <v>206</v>
      </c>
      <c r="D439" s="3" t="s">
        <v>391</v>
      </c>
      <c r="E439" s="3" t="s">
        <v>1444</v>
      </c>
      <c r="F439" s="3" t="s">
        <v>1098</v>
      </c>
      <c r="G439" s="3" t="s">
        <v>52</v>
      </c>
      <c r="H439" s="3" t="s">
        <v>1099</v>
      </c>
      <c r="I439" s="3" t="s">
        <v>1445</v>
      </c>
      <c r="M439" s="8" t="n">
        <v>1367635</v>
      </c>
      <c r="P439" s="9" t="n">
        <v>52</v>
      </c>
      <c r="Q439" s="9" t="n">
        <v>29.3</v>
      </c>
      <c r="R439" s="9" t="n">
        <v>1</v>
      </c>
      <c r="S439" s="8" t="n">
        <v>794746</v>
      </c>
      <c r="T439" s="10" t="n">
        <v>70.1</v>
      </c>
      <c r="U439" s="9" t="n">
        <v>4</v>
      </c>
      <c r="V439" s="3" t="s">
        <v>83</v>
      </c>
      <c r="W439" s="9" t="n">
        <v>1</v>
      </c>
      <c r="Z439" s="3" t="s">
        <v>56</v>
      </c>
      <c r="AA439" s="3" t="s">
        <v>1337</v>
      </c>
      <c r="AB439" s="11" t="n">
        <v>46127</v>
      </c>
    </row>
    <row r="440" customFormat="false" ht="15" hidden="false" customHeight="false" outlineLevel="0" collapsed="false">
      <c r="A440" s="3" t="s">
        <v>1446</v>
      </c>
      <c r="B440" s="3" t="s">
        <v>378</v>
      </c>
      <c r="C440" s="3" t="s">
        <v>210</v>
      </c>
      <c r="D440" s="3" t="s">
        <v>391</v>
      </c>
      <c r="E440" s="3" t="s">
        <v>1447</v>
      </c>
      <c r="F440" s="3" t="s">
        <v>1098</v>
      </c>
      <c r="G440" s="3" t="s">
        <v>52</v>
      </c>
      <c r="H440" s="3" t="s">
        <v>1099</v>
      </c>
      <c r="I440" s="3" t="s">
        <v>1448</v>
      </c>
      <c r="M440" s="8" t="n">
        <v>580290</v>
      </c>
      <c r="P440" s="9" t="n">
        <v>73</v>
      </c>
      <c r="Q440" s="9" t="n">
        <v>11.5</v>
      </c>
      <c r="R440" s="9" t="n">
        <v>1</v>
      </c>
      <c r="S440" s="8" t="n">
        <v>447633</v>
      </c>
      <c r="T440" s="10" t="n">
        <v>91.5</v>
      </c>
      <c r="U440" s="9" t="n">
        <v>5</v>
      </c>
      <c r="V440" s="3" t="s">
        <v>92</v>
      </c>
      <c r="W440" s="9" t="n">
        <v>1</v>
      </c>
      <c r="Z440" s="3" t="s">
        <v>56</v>
      </c>
      <c r="AA440" s="3" t="s">
        <v>1337</v>
      </c>
      <c r="AB440" s="11" t="n">
        <v>46127</v>
      </c>
    </row>
    <row r="441" customFormat="false" ht="15" hidden="false" customHeight="false" outlineLevel="0" collapsed="false">
      <c r="A441" s="3" t="s">
        <v>1449</v>
      </c>
      <c r="B441" s="3" t="s">
        <v>378</v>
      </c>
      <c r="C441" s="3" t="s">
        <v>214</v>
      </c>
      <c r="D441" s="3" t="s">
        <v>379</v>
      </c>
      <c r="E441" s="3" t="s">
        <v>1450</v>
      </c>
      <c r="F441" s="3" t="s">
        <v>1098</v>
      </c>
      <c r="G441" s="3" t="s">
        <v>52</v>
      </c>
      <c r="H441" s="3" t="s">
        <v>1099</v>
      </c>
      <c r="I441" s="3" t="s">
        <v>1451</v>
      </c>
      <c r="M441" s="8" t="n">
        <v>285357</v>
      </c>
      <c r="P441" s="9" t="n">
        <v>36</v>
      </c>
      <c r="Q441" s="9" t="n">
        <v>14.8</v>
      </c>
      <c r="R441" s="9" t="n">
        <v>1</v>
      </c>
      <c r="S441" s="8" t="n">
        <v>583038</v>
      </c>
      <c r="T441" s="10" t="n">
        <v>17.7</v>
      </c>
      <c r="U441" s="9" t="n">
        <v>1</v>
      </c>
      <c r="V441" s="3" t="s">
        <v>62</v>
      </c>
      <c r="W441" s="9" t="n">
        <v>1</v>
      </c>
      <c r="Z441" s="3" t="s">
        <v>56</v>
      </c>
      <c r="AA441" s="3" t="s">
        <v>1337</v>
      </c>
      <c r="AB441" s="11" t="n">
        <v>46127</v>
      </c>
    </row>
    <row r="442" customFormat="false" ht="15" hidden="false" customHeight="false" outlineLevel="0" collapsed="false">
      <c r="A442" s="3" t="s">
        <v>1452</v>
      </c>
      <c r="B442" s="3" t="s">
        <v>378</v>
      </c>
      <c r="C442" s="3" t="s">
        <v>218</v>
      </c>
      <c r="D442" s="3" t="s">
        <v>391</v>
      </c>
      <c r="E442" s="3" t="s">
        <v>1453</v>
      </c>
      <c r="F442" s="3" t="s">
        <v>1098</v>
      </c>
      <c r="G442" s="3" t="s">
        <v>52</v>
      </c>
      <c r="H442" s="3" t="s">
        <v>1099</v>
      </c>
      <c r="I442" s="3" t="s">
        <v>1454</v>
      </c>
      <c r="M442" s="8" t="n">
        <v>216420</v>
      </c>
      <c r="P442" s="9" t="n">
        <v>35</v>
      </c>
      <c r="Q442" s="9" t="n">
        <v>2.9</v>
      </c>
      <c r="R442" s="9" t="n">
        <v>1</v>
      </c>
      <c r="S442" s="8" t="n">
        <v>400517</v>
      </c>
      <c r="T442" s="10" t="n">
        <v>55.7</v>
      </c>
      <c r="U442" s="9" t="n">
        <v>4</v>
      </c>
      <c r="V442" s="3" t="s">
        <v>83</v>
      </c>
      <c r="W442" s="9" t="n">
        <v>1</v>
      </c>
      <c r="Z442" s="3" t="s">
        <v>56</v>
      </c>
      <c r="AA442" s="3" t="s">
        <v>1337</v>
      </c>
      <c r="AB442" s="11" t="n">
        <v>46127</v>
      </c>
    </row>
    <row r="443" customFormat="false" ht="15" hidden="false" customHeight="false" outlineLevel="0" collapsed="false">
      <c r="A443" s="3" t="s">
        <v>1455</v>
      </c>
      <c r="B443" s="3" t="s">
        <v>378</v>
      </c>
      <c r="C443" s="3" t="s">
        <v>222</v>
      </c>
      <c r="D443" s="3" t="s">
        <v>391</v>
      </c>
      <c r="E443" s="3" t="s">
        <v>1456</v>
      </c>
      <c r="F443" s="3" t="s">
        <v>1098</v>
      </c>
      <c r="G443" s="3" t="s">
        <v>52</v>
      </c>
      <c r="H443" s="3" t="s">
        <v>1099</v>
      </c>
      <c r="I443" s="3" t="s">
        <v>1457</v>
      </c>
      <c r="M443" s="8" t="n">
        <v>515884</v>
      </c>
      <c r="P443" s="9" t="n">
        <v>65</v>
      </c>
      <c r="Q443" s="9" t="n">
        <v>6.8</v>
      </c>
      <c r="R443" s="9" t="n">
        <v>1</v>
      </c>
      <c r="S443" s="8" t="n">
        <v>867111</v>
      </c>
      <c r="T443" s="10" t="n">
        <v>40.9</v>
      </c>
      <c r="U443" s="9" t="n">
        <v>6</v>
      </c>
      <c r="V443" s="3" t="s">
        <v>55</v>
      </c>
      <c r="W443" s="9" t="n">
        <v>1</v>
      </c>
      <c r="Z443" s="3" t="s">
        <v>56</v>
      </c>
      <c r="AA443" s="3" t="s">
        <v>1337</v>
      </c>
      <c r="AB443" s="11" t="n">
        <v>46127</v>
      </c>
    </row>
    <row r="444" customFormat="false" ht="15" hidden="false" customHeight="false" outlineLevel="0" collapsed="false">
      <c r="A444" s="3" t="s">
        <v>1458</v>
      </c>
      <c r="B444" s="3" t="s">
        <v>378</v>
      </c>
      <c r="C444" s="3" t="s">
        <v>226</v>
      </c>
      <c r="D444" s="3" t="s">
        <v>384</v>
      </c>
      <c r="E444" s="3" t="s">
        <v>615</v>
      </c>
      <c r="F444" s="3" t="s">
        <v>1098</v>
      </c>
      <c r="G444" s="3" t="s">
        <v>52</v>
      </c>
      <c r="H444" s="3" t="s">
        <v>1099</v>
      </c>
      <c r="I444" s="3" t="s">
        <v>1459</v>
      </c>
      <c r="M444" s="8" t="n">
        <v>152246</v>
      </c>
      <c r="P444" s="9" t="n">
        <v>43</v>
      </c>
      <c r="Q444" s="9" t="n">
        <v>22.5</v>
      </c>
      <c r="R444" s="9" t="n">
        <v>1</v>
      </c>
      <c r="S444" s="8" t="n">
        <v>111764</v>
      </c>
      <c r="T444" s="10" t="n">
        <v>94.7</v>
      </c>
      <c r="U444" s="9" t="n">
        <v>8</v>
      </c>
      <c r="V444" s="3" t="s">
        <v>62</v>
      </c>
      <c r="W444" s="9" t="n">
        <v>1</v>
      </c>
      <c r="Z444" s="3" t="s">
        <v>56</v>
      </c>
      <c r="AA444" s="3" t="s">
        <v>1337</v>
      </c>
      <c r="AB444" s="11" t="n">
        <v>46127</v>
      </c>
    </row>
    <row r="445" customFormat="false" ht="15" hidden="false" customHeight="false" outlineLevel="0" collapsed="false">
      <c r="A445" s="3" t="s">
        <v>1460</v>
      </c>
      <c r="B445" s="3" t="s">
        <v>378</v>
      </c>
      <c r="C445" s="3" t="s">
        <v>230</v>
      </c>
      <c r="D445" s="3" t="s">
        <v>379</v>
      </c>
      <c r="E445" s="3" t="s">
        <v>1461</v>
      </c>
      <c r="F445" s="3" t="s">
        <v>1098</v>
      </c>
      <c r="G445" s="3" t="s">
        <v>52</v>
      </c>
      <c r="H445" s="3" t="s">
        <v>1099</v>
      </c>
      <c r="I445" s="3" t="s">
        <v>1462</v>
      </c>
      <c r="M445" s="8" t="n">
        <v>263621</v>
      </c>
      <c r="P445" s="9" t="n">
        <v>39</v>
      </c>
      <c r="Q445" s="9" t="n">
        <v>3.5</v>
      </c>
      <c r="R445" s="9" t="n">
        <v>1</v>
      </c>
      <c r="S445" s="8" t="n">
        <v>172666</v>
      </c>
      <c r="T445" s="10" t="n">
        <v>69.1</v>
      </c>
      <c r="U445" s="9" t="n">
        <v>6</v>
      </c>
      <c r="V445" s="3" t="s">
        <v>92</v>
      </c>
      <c r="W445" s="9" t="n">
        <v>1</v>
      </c>
      <c r="Z445" s="3" t="s">
        <v>56</v>
      </c>
      <c r="AA445" s="3" t="s">
        <v>1337</v>
      </c>
      <c r="AB445" s="11" t="n">
        <v>46127</v>
      </c>
    </row>
    <row r="446" customFormat="false" ht="15" hidden="false" customHeight="false" outlineLevel="0" collapsed="false">
      <c r="A446" s="3" t="s">
        <v>1463</v>
      </c>
      <c r="B446" s="3" t="s">
        <v>378</v>
      </c>
      <c r="C446" s="3" t="s">
        <v>234</v>
      </c>
      <c r="D446" s="3" t="s">
        <v>391</v>
      </c>
      <c r="E446" s="3" t="s">
        <v>1464</v>
      </c>
      <c r="F446" s="3" t="s">
        <v>1098</v>
      </c>
      <c r="G446" s="3" t="s">
        <v>52</v>
      </c>
      <c r="H446" s="3" t="s">
        <v>1099</v>
      </c>
      <c r="I446" s="3" t="s">
        <v>1465</v>
      </c>
      <c r="M446" s="8" t="n">
        <v>310191</v>
      </c>
      <c r="P446" s="9" t="n">
        <v>64</v>
      </c>
      <c r="Q446" s="9" t="n">
        <v>24.1</v>
      </c>
      <c r="R446" s="9" t="n">
        <v>1</v>
      </c>
      <c r="S446" s="8" t="n">
        <v>459688</v>
      </c>
      <c r="T446" s="10" t="n">
        <v>88.9</v>
      </c>
      <c r="U446" s="9" t="n">
        <v>5</v>
      </c>
      <c r="V446" s="3" t="s">
        <v>92</v>
      </c>
      <c r="W446" s="9" t="n">
        <v>1</v>
      </c>
      <c r="Z446" s="3" t="s">
        <v>56</v>
      </c>
      <c r="AA446" s="3" t="s">
        <v>1337</v>
      </c>
      <c r="AB446" s="11" t="n">
        <v>46127</v>
      </c>
    </row>
    <row r="447" customFormat="false" ht="15" hidden="false" customHeight="false" outlineLevel="0" collapsed="false">
      <c r="A447" s="3" t="s">
        <v>1466</v>
      </c>
      <c r="B447" s="3" t="s">
        <v>378</v>
      </c>
      <c r="C447" s="3" t="s">
        <v>238</v>
      </c>
      <c r="D447" s="3" t="s">
        <v>379</v>
      </c>
      <c r="E447" s="3" t="s">
        <v>1467</v>
      </c>
      <c r="F447" s="3" t="s">
        <v>1098</v>
      </c>
      <c r="G447" s="3" t="s">
        <v>52</v>
      </c>
      <c r="H447" s="3" t="s">
        <v>1099</v>
      </c>
      <c r="I447" s="3" t="s">
        <v>1468</v>
      </c>
      <c r="M447" s="8" t="n">
        <v>390521</v>
      </c>
      <c r="P447" s="9" t="n">
        <v>70</v>
      </c>
      <c r="Q447" s="9" t="n">
        <v>11.6</v>
      </c>
      <c r="R447" s="9" t="n">
        <v>1</v>
      </c>
      <c r="S447" s="8" t="n">
        <v>1536617</v>
      </c>
      <c r="T447" s="10" t="n">
        <v>55.8</v>
      </c>
      <c r="U447" s="9" t="n">
        <v>8</v>
      </c>
      <c r="V447" s="3" t="s">
        <v>83</v>
      </c>
      <c r="W447" s="9" t="n">
        <v>1</v>
      </c>
      <c r="Z447" s="3" t="s">
        <v>56</v>
      </c>
      <c r="AA447" s="3" t="s">
        <v>1337</v>
      </c>
      <c r="AB447" s="11" t="n">
        <v>46127</v>
      </c>
    </row>
    <row r="448" customFormat="false" ht="15" hidden="false" customHeight="false" outlineLevel="0" collapsed="false">
      <c r="A448" s="3" t="s">
        <v>1469</v>
      </c>
      <c r="B448" s="3" t="s">
        <v>378</v>
      </c>
      <c r="C448" s="3" t="s">
        <v>242</v>
      </c>
      <c r="D448" s="3" t="s">
        <v>391</v>
      </c>
      <c r="E448" s="3" t="s">
        <v>1470</v>
      </c>
      <c r="F448" s="3" t="s">
        <v>1098</v>
      </c>
      <c r="G448" s="3" t="s">
        <v>52</v>
      </c>
      <c r="H448" s="3" t="s">
        <v>1099</v>
      </c>
      <c r="I448" s="3" t="s">
        <v>1471</v>
      </c>
      <c r="M448" s="8" t="n">
        <v>819416</v>
      </c>
      <c r="P448" s="9" t="n">
        <v>71</v>
      </c>
      <c r="Q448" s="9" t="n">
        <v>16.5</v>
      </c>
      <c r="R448" s="9" t="n">
        <v>3</v>
      </c>
      <c r="S448" s="8" t="n">
        <v>271774</v>
      </c>
      <c r="T448" s="10" t="n">
        <v>85</v>
      </c>
      <c r="U448" s="9" t="n">
        <v>5</v>
      </c>
      <c r="V448" s="3" t="s">
        <v>83</v>
      </c>
      <c r="W448" s="9" t="n">
        <v>1</v>
      </c>
      <c r="Z448" s="3" t="s">
        <v>56</v>
      </c>
      <c r="AA448" s="3" t="s">
        <v>1337</v>
      </c>
      <c r="AB448" s="11" t="n">
        <v>46127</v>
      </c>
    </row>
    <row r="449" customFormat="false" ht="15" hidden="false" customHeight="false" outlineLevel="0" collapsed="false">
      <c r="A449" s="3" t="s">
        <v>1472</v>
      </c>
      <c r="B449" s="3" t="s">
        <v>378</v>
      </c>
      <c r="C449" s="3" t="s">
        <v>246</v>
      </c>
      <c r="D449" s="3" t="s">
        <v>384</v>
      </c>
      <c r="E449" s="3" t="s">
        <v>1473</v>
      </c>
      <c r="F449" s="3" t="s">
        <v>1098</v>
      </c>
      <c r="G449" s="3" t="s">
        <v>52</v>
      </c>
      <c r="H449" s="3" t="s">
        <v>1099</v>
      </c>
      <c r="I449" s="3" t="s">
        <v>1474</v>
      </c>
      <c r="M449" s="8" t="n">
        <v>386652</v>
      </c>
      <c r="P449" s="9" t="n">
        <v>56</v>
      </c>
      <c r="Q449" s="9" t="n">
        <v>12</v>
      </c>
      <c r="R449" s="9" t="n">
        <v>1</v>
      </c>
      <c r="S449" s="8" t="n">
        <v>554707</v>
      </c>
      <c r="T449" s="10" t="n">
        <v>35.5</v>
      </c>
      <c r="U449" s="9" t="n">
        <v>10</v>
      </c>
      <c r="V449" s="3" t="s">
        <v>83</v>
      </c>
      <c r="W449" s="9" t="n">
        <v>1</v>
      </c>
      <c r="Z449" s="3" t="s">
        <v>56</v>
      </c>
      <c r="AA449" s="3" t="s">
        <v>1337</v>
      </c>
      <c r="AB449" s="11" t="n">
        <v>46127</v>
      </c>
    </row>
    <row r="450" customFormat="false" ht="15" hidden="false" customHeight="false" outlineLevel="0" collapsed="false">
      <c r="A450" s="3" t="s">
        <v>1475</v>
      </c>
      <c r="B450" s="3" t="s">
        <v>378</v>
      </c>
      <c r="C450" s="3" t="s">
        <v>250</v>
      </c>
      <c r="D450" s="3" t="s">
        <v>379</v>
      </c>
      <c r="E450" s="3" t="s">
        <v>1476</v>
      </c>
      <c r="F450" s="3" t="s">
        <v>1098</v>
      </c>
      <c r="G450" s="3" t="s">
        <v>52</v>
      </c>
      <c r="H450" s="3" t="s">
        <v>1099</v>
      </c>
      <c r="I450" s="3" t="s">
        <v>1477</v>
      </c>
      <c r="M450" s="8" t="n">
        <v>907644</v>
      </c>
      <c r="P450" s="9" t="n">
        <v>48</v>
      </c>
      <c r="Q450" s="9" t="n">
        <v>27.1</v>
      </c>
      <c r="R450" s="9" t="n">
        <v>1</v>
      </c>
      <c r="S450" s="8" t="n">
        <v>453446</v>
      </c>
      <c r="T450" s="10" t="n">
        <v>33.6</v>
      </c>
      <c r="U450" s="9" t="n">
        <v>5</v>
      </c>
      <c r="V450" s="3" t="s">
        <v>83</v>
      </c>
      <c r="W450" s="9" t="n">
        <v>1</v>
      </c>
      <c r="Z450" s="3" t="s">
        <v>56</v>
      </c>
      <c r="AA450" s="3" t="s">
        <v>1337</v>
      </c>
      <c r="AB450" s="11" t="n">
        <v>46127</v>
      </c>
    </row>
    <row r="451" customFormat="false" ht="15" hidden="false" customHeight="false" outlineLevel="0" collapsed="false">
      <c r="A451" s="3" t="s">
        <v>1478</v>
      </c>
      <c r="B451" s="3" t="s">
        <v>378</v>
      </c>
      <c r="C451" s="3" t="s">
        <v>254</v>
      </c>
      <c r="D451" s="3" t="s">
        <v>391</v>
      </c>
      <c r="E451" s="3" t="s">
        <v>1479</v>
      </c>
      <c r="F451" s="3" t="s">
        <v>1098</v>
      </c>
      <c r="G451" s="3" t="s">
        <v>52</v>
      </c>
      <c r="H451" s="3" t="s">
        <v>1099</v>
      </c>
      <c r="I451" s="3" t="s">
        <v>1480</v>
      </c>
      <c r="M451" s="8" t="n">
        <v>177531</v>
      </c>
      <c r="P451" s="9" t="n">
        <v>43</v>
      </c>
      <c r="Q451" s="9" t="n">
        <v>24.7</v>
      </c>
      <c r="R451" s="9" t="n">
        <v>1</v>
      </c>
      <c r="S451" s="8" t="n">
        <v>462858</v>
      </c>
      <c r="T451" s="10" t="n">
        <v>16.9</v>
      </c>
      <c r="U451" s="9" t="n">
        <v>7</v>
      </c>
      <c r="V451" s="3" t="s">
        <v>55</v>
      </c>
      <c r="W451" s="9" t="n">
        <v>1</v>
      </c>
      <c r="Z451" s="3" t="s">
        <v>56</v>
      </c>
      <c r="AA451" s="3" t="s">
        <v>1337</v>
      </c>
      <c r="AB451" s="11" t="n">
        <v>46127</v>
      </c>
    </row>
    <row r="452" customFormat="false" ht="15" hidden="false" customHeight="false" outlineLevel="0" collapsed="false">
      <c r="A452" s="3" t="s">
        <v>1481</v>
      </c>
      <c r="B452" s="3" t="s">
        <v>378</v>
      </c>
      <c r="C452" s="3" t="s">
        <v>258</v>
      </c>
      <c r="D452" s="3" t="s">
        <v>379</v>
      </c>
      <c r="E452" s="3" t="s">
        <v>1482</v>
      </c>
      <c r="F452" s="3" t="s">
        <v>1098</v>
      </c>
      <c r="G452" s="3" t="s">
        <v>52</v>
      </c>
      <c r="H452" s="3" t="s">
        <v>1099</v>
      </c>
      <c r="I452" s="3" t="s">
        <v>1483</v>
      </c>
      <c r="M452" s="8" t="n">
        <v>289587</v>
      </c>
      <c r="P452" s="9" t="n">
        <v>44</v>
      </c>
      <c r="Q452" s="9" t="n">
        <v>4</v>
      </c>
      <c r="R452" s="9" t="n">
        <v>1</v>
      </c>
      <c r="S452" s="8" t="n">
        <v>332060</v>
      </c>
      <c r="T452" s="10" t="n">
        <v>28.1</v>
      </c>
      <c r="U452" s="9" t="n">
        <v>10</v>
      </c>
      <c r="V452" s="3" t="s">
        <v>92</v>
      </c>
      <c r="W452" s="9" t="n">
        <v>1</v>
      </c>
      <c r="Z452" s="3" t="s">
        <v>56</v>
      </c>
      <c r="AA452" s="3" t="s">
        <v>1337</v>
      </c>
      <c r="AB452" s="11" t="n">
        <v>46127</v>
      </c>
    </row>
    <row r="453" customFormat="false" ht="15" hidden="false" customHeight="false" outlineLevel="0" collapsed="false">
      <c r="A453" s="3" t="s">
        <v>1484</v>
      </c>
      <c r="B453" s="3" t="s">
        <v>378</v>
      </c>
      <c r="C453" s="3" t="s">
        <v>262</v>
      </c>
      <c r="D453" s="3" t="s">
        <v>391</v>
      </c>
      <c r="E453" s="3" t="s">
        <v>1485</v>
      </c>
      <c r="F453" s="3" t="s">
        <v>1098</v>
      </c>
      <c r="G453" s="3" t="s">
        <v>52</v>
      </c>
      <c r="H453" s="3" t="s">
        <v>1099</v>
      </c>
      <c r="I453" s="3" t="s">
        <v>1486</v>
      </c>
      <c r="M453" s="8" t="n">
        <v>1795762</v>
      </c>
      <c r="P453" s="9" t="n">
        <v>65</v>
      </c>
      <c r="Q453" s="9" t="n">
        <v>3.6</v>
      </c>
      <c r="R453" s="9" t="n">
        <v>1</v>
      </c>
      <c r="S453" s="8" t="n">
        <v>785433</v>
      </c>
      <c r="T453" s="10" t="n">
        <v>32.1</v>
      </c>
      <c r="U453" s="9" t="n">
        <v>1</v>
      </c>
      <c r="V453" s="3" t="s">
        <v>92</v>
      </c>
      <c r="W453" s="9" t="n">
        <v>1</v>
      </c>
      <c r="Z453" s="3" t="s">
        <v>56</v>
      </c>
      <c r="AA453" s="3" t="s">
        <v>1337</v>
      </c>
      <c r="AB453" s="11" t="n">
        <v>46127</v>
      </c>
    </row>
    <row r="454" customFormat="false" ht="15" hidden="false" customHeight="false" outlineLevel="0" collapsed="false">
      <c r="A454" s="3" t="s">
        <v>1487</v>
      </c>
      <c r="B454" s="3" t="s">
        <v>378</v>
      </c>
      <c r="C454" s="3" t="s">
        <v>266</v>
      </c>
      <c r="D454" s="3" t="s">
        <v>384</v>
      </c>
      <c r="E454" s="3" t="s">
        <v>1488</v>
      </c>
      <c r="F454" s="3" t="s">
        <v>1098</v>
      </c>
      <c r="G454" s="3" t="s">
        <v>52</v>
      </c>
      <c r="H454" s="3" t="s">
        <v>1099</v>
      </c>
      <c r="I454" s="3" t="s">
        <v>1489</v>
      </c>
      <c r="M454" s="8" t="n">
        <v>267077</v>
      </c>
      <c r="P454" s="9" t="n">
        <v>72</v>
      </c>
      <c r="Q454" s="9" t="n">
        <v>4.2</v>
      </c>
      <c r="R454" s="9" t="n">
        <v>1</v>
      </c>
      <c r="S454" s="8" t="n">
        <v>483168</v>
      </c>
      <c r="T454" s="10" t="n">
        <v>90.6</v>
      </c>
      <c r="U454" s="9" t="n">
        <v>8</v>
      </c>
      <c r="V454" s="3" t="s">
        <v>62</v>
      </c>
      <c r="W454" s="9" t="n">
        <v>1</v>
      </c>
      <c r="Z454" s="3" t="s">
        <v>56</v>
      </c>
      <c r="AA454" s="3" t="s">
        <v>1337</v>
      </c>
      <c r="AB454" s="11" t="n">
        <v>46127</v>
      </c>
    </row>
    <row r="455" customFormat="false" ht="15" hidden="false" customHeight="false" outlineLevel="0" collapsed="false">
      <c r="A455" s="3" t="s">
        <v>1490</v>
      </c>
      <c r="B455" s="3" t="s">
        <v>378</v>
      </c>
      <c r="C455" s="3" t="s">
        <v>270</v>
      </c>
      <c r="D455" s="3" t="s">
        <v>379</v>
      </c>
      <c r="E455" s="3" t="s">
        <v>1491</v>
      </c>
      <c r="F455" s="3" t="s">
        <v>1098</v>
      </c>
      <c r="G455" s="3" t="s">
        <v>52</v>
      </c>
      <c r="H455" s="3" t="s">
        <v>1099</v>
      </c>
      <c r="I455" s="3" t="s">
        <v>1492</v>
      </c>
      <c r="M455" s="8" t="n">
        <v>316366</v>
      </c>
      <c r="P455" s="9" t="n">
        <v>41</v>
      </c>
      <c r="Q455" s="9" t="n">
        <v>29.8</v>
      </c>
      <c r="R455" s="9" t="n">
        <v>1</v>
      </c>
      <c r="S455" s="8" t="n">
        <v>463788</v>
      </c>
      <c r="T455" s="10" t="n">
        <v>42.4</v>
      </c>
      <c r="U455" s="9" t="n">
        <v>2</v>
      </c>
      <c r="V455" s="3" t="s">
        <v>92</v>
      </c>
      <c r="W455" s="9" t="n">
        <v>1</v>
      </c>
      <c r="Z455" s="3" t="s">
        <v>56</v>
      </c>
      <c r="AA455" s="3" t="s">
        <v>1337</v>
      </c>
      <c r="AB455" s="11" t="n">
        <v>46127</v>
      </c>
    </row>
    <row r="456" customFormat="false" ht="15" hidden="false" customHeight="false" outlineLevel="0" collapsed="false">
      <c r="A456" s="3" t="s">
        <v>1493</v>
      </c>
      <c r="B456" s="3" t="s">
        <v>378</v>
      </c>
      <c r="C456" s="3" t="s">
        <v>274</v>
      </c>
      <c r="D456" s="3" t="s">
        <v>379</v>
      </c>
      <c r="E456" s="3" t="s">
        <v>1494</v>
      </c>
      <c r="F456" s="3" t="s">
        <v>1098</v>
      </c>
      <c r="G456" s="3" t="s">
        <v>52</v>
      </c>
      <c r="H456" s="3" t="s">
        <v>1099</v>
      </c>
      <c r="I456" s="3" t="s">
        <v>1495</v>
      </c>
      <c r="M456" s="8" t="n">
        <v>428571</v>
      </c>
      <c r="P456" s="9" t="n">
        <v>59</v>
      </c>
      <c r="Q456" s="9" t="n">
        <v>29.7</v>
      </c>
      <c r="R456" s="9" t="n">
        <v>1</v>
      </c>
      <c r="S456" s="8" t="n">
        <v>273488</v>
      </c>
      <c r="T456" s="10" t="n">
        <v>28.1</v>
      </c>
      <c r="U456" s="9" t="n">
        <v>8</v>
      </c>
      <c r="V456" s="3" t="s">
        <v>92</v>
      </c>
      <c r="W456" s="9" t="n">
        <v>1</v>
      </c>
      <c r="Z456" s="3" t="s">
        <v>56</v>
      </c>
      <c r="AA456" s="3" t="s">
        <v>1337</v>
      </c>
      <c r="AB456" s="11" t="n">
        <v>46127</v>
      </c>
    </row>
    <row r="457" customFormat="false" ht="15" hidden="false" customHeight="false" outlineLevel="0" collapsed="false">
      <c r="A457" s="3" t="s">
        <v>1496</v>
      </c>
      <c r="B457" s="3" t="s">
        <v>378</v>
      </c>
      <c r="C457" s="3" t="s">
        <v>278</v>
      </c>
      <c r="D457" s="3" t="s">
        <v>384</v>
      </c>
      <c r="E457" s="3" t="s">
        <v>1497</v>
      </c>
      <c r="F457" s="3" t="s">
        <v>1098</v>
      </c>
      <c r="G457" s="3" t="s">
        <v>52</v>
      </c>
      <c r="H457" s="3" t="s">
        <v>1099</v>
      </c>
      <c r="I457" s="3" t="s">
        <v>1498</v>
      </c>
      <c r="M457" s="8" t="n">
        <v>462375</v>
      </c>
      <c r="P457" s="9" t="n">
        <v>60</v>
      </c>
      <c r="Q457" s="9" t="n">
        <v>13.9</v>
      </c>
      <c r="R457" s="9" t="n">
        <v>1</v>
      </c>
      <c r="S457" s="8" t="n">
        <v>1050635</v>
      </c>
      <c r="T457" s="10" t="n">
        <v>28</v>
      </c>
      <c r="U457" s="9" t="n">
        <v>7</v>
      </c>
      <c r="V457" s="3" t="s">
        <v>92</v>
      </c>
      <c r="W457" s="9" t="n">
        <v>1</v>
      </c>
      <c r="Z457" s="3" t="s">
        <v>56</v>
      </c>
      <c r="AA457" s="3" t="s">
        <v>1337</v>
      </c>
      <c r="AB457" s="11" t="n">
        <v>46127</v>
      </c>
    </row>
    <row r="458" customFormat="false" ht="15" hidden="false" customHeight="false" outlineLevel="0" collapsed="false">
      <c r="A458" s="3" t="s">
        <v>1499</v>
      </c>
      <c r="B458" s="3" t="s">
        <v>378</v>
      </c>
      <c r="C458" s="3" t="s">
        <v>282</v>
      </c>
      <c r="D458" s="3" t="s">
        <v>379</v>
      </c>
      <c r="E458" s="3" t="s">
        <v>1500</v>
      </c>
      <c r="F458" s="3" t="s">
        <v>1098</v>
      </c>
      <c r="G458" s="3" t="s">
        <v>52</v>
      </c>
      <c r="H458" s="3" t="s">
        <v>1099</v>
      </c>
      <c r="I458" s="3" t="s">
        <v>1501</v>
      </c>
      <c r="M458" s="8" t="n">
        <v>267708</v>
      </c>
      <c r="P458" s="9" t="n">
        <v>73</v>
      </c>
      <c r="Q458" s="9" t="n">
        <v>28.6</v>
      </c>
      <c r="R458" s="9" t="n">
        <v>1</v>
      </c>
      <c r="S458" s="8" t="n">
        <v>2778465</v>
      </c>
      <c r="T458" s="10" t="n">
        <v>56.8</v>
      </c>
      <c r="U458" s="9" t="n">
        <v>4</v>
      </c>
      <c r="V458" s="3" t="s">
        <v>55</v>
      </c>
      <c r="W458" s="9" t="n">
        <v>1</v>
      </c>
      <c r="Z458" s="3" t="s">
        <v>56</v>
      </c>
      <c r="AA458" s="3" t="s">
        <v>1337</v>
      </c>
      <c r="AB458" s="11" t="n">
        <v>46127</v>
      </c>
    </row>
    <row r="459" customFormat="false" ht="15" hidden="false" customHeight="false" outlineLevel="0" collapsed="false">
      <c r="A459" s="3" t="s">
        <v>1502</v>
      </c>
      <c r="B459" s="3" t="s">
        <v>378</v>
      </c>
      <c r="C459" s="3" t="s">
        <v>286</v>
      </c>
      <c r="D459" s="3" t="s">
        <v>384</v>
      </c>
      <c r="E459" s="3" t="s">
        <v>1503</v>
      </c>
      <c r="F459" s="3" t="s">
        <v>1098</v>
      </c>
      <c r="G459" s="3" t="s">
        <v>52</v>
      </c>
      <c r="H459" s="3" t="s">
        <v>1099</v>
      </c>
      <c r="I459" s="3" t="s">
        <v>1504</v>
      </c>
      <c r="M459" s="8" t="n">
        <v>240196</v>
      </c>
      <c r="P459" s="9" t="n">
        <v>51</v>
      </c>
      <c r="Q459" s="9" t="n">
        <v>8.6</v>
      </c>
      <c r="R459" s="9" t="n">
        <v>1</v>
      </c>
      <c r="S459" s="8" t="n">
        <v>521943</v>
      </c>
      <c r="T459" s="10" t="n">
        <v>91</v>
      </c>
      <c r="U459" s="9" t="n">
        <v>9</v>
      </c>
      <c r="V459" s="3" t="s">
        <v>55</v>
      </c>
      <c r="W459" s="9" t="n">
        <v>1</v>
      </c>
      <c r="Z459" s="3" t="s">
        <v>56</v>
      </c>
      <c r="AA459" s="3" t="s">
        <v>1337</v>
      </c>
      <c r="AB459" s="11" t="n">
        <v>46127</v>
      </c>
    </row>
    <row r="460" customFormat="false" ht="15" hidden="false" customHeight="false" outlineLevel="0" collapsed="false">
      <c r="A460" s="3" t="s">
        <v>1505</v>
      </c>
      <c r="B460" s="3" t="s">
        <v>378</v>
      </c>
      <c r="C460" s="3" t="s">
        <v>290</v>
      </c>
      <c r="D460" s="3" t="s">
        <v>379</v>
      </c>
      <c r="E460" s="3" t="s">
        <v>1506</v>
      </c>
      <c r="F460" s="3" t="s">
        <v>1098</v>
      </c>
      <c r="G460" s="3" t="s">
        <v>52</v>
      </c>
      <c r="H460" s="3" t="s">
        <v>1099</v>
      </c>
      <c r="I460" s="3" t="s">
        <v>1507</v>
      </c>
      <c r="M460" s="8" t="n">
        <v>790206</v>
      </c>
      <c r="P460" s="9" t="n">
        <v>69</v>
      </c>
      <c r="Q460" s="9" t="n">
        <v>16.8</v>
      </c>
      <c r="R460" s="9" t="n">
        <v>2</v>
      </c>
      <c r="S460" s="8" t="n">
        <v>858191</v>
      </c>
      <c r="T460" s="10" t="n">
        <v>69.9</v>
      </c>
      <c r="U460" s="9" t="n">
        <v>10</v>
      </c>
      <c r="V460" s="3" t="s">
        <v>55</v>
      </c>
      <c r="W460" s="9" t="n">
        <v>1</v>
      </c>
      <c r="Z460" s="3" t="s">
        <v>56</v>
      </c>
      <c r="AA460" s="3" t="s">
        <v>1337</v>
      </c>
      <c r="AB460" s="11" t="n">
        <v>46127</v>
      </c>
    </row>
    <row r="461" customFormat="false" ht="15" hidden="false" customHeight="false" outlineLevel="0" collapsed="false">
      <c r="A461" s="3" t="s">
        <v>1508</v>
      </c>
      <c r="B461" s="3" t="s">
        <v>378</v>
      </c>
      <c r="C461" s="3" t="s">
        <v>294</v>
      </c>
      <c r="D461" s="3" t="s">
        <v>391</v>
      </c>
      <c r="E461" s="3" t="s">
        <v>1509</v>
      </c>
      <c r="F461" s="3" t="s">
        <v>1098</v>
      </c>
      <c r="G461" s="3" t="s">
        <v>52</v>
      </c>
      <c r="H461" s="3" t="s">
        <v>1099</v>
      </c>
      <c r="I461" s="3" t="s">
        <v>1510</v>
      </c>
      <c r="M461" s="8" t="n">
        <v>403278</v>
      </c>
      <c r="P461" s="9" t="n">
        <v>52</v>
      </c>
      <c r="Q461" s="9" t="n">
        <v>4.3</v>
      </c>
      <c r="R461" s="9" t="n">
        <v>2</v>
      </c>
      <c r="S461" s="8" t="n">
        <v>643003</v>
      </c>
      <c r="T461" s="10" t="n">
        <v>61.2</v>
      </c>
      <c r="U461" s="9" t="n">
        <v>2</v>
      </c>
      <c r="V461" s="3" t="s">
        <v>92</v>
      </c>
      <c r="W461" s="9" t="n">
        <v>1</v>
      </c>
      <c r="Z461" s="3" t="s">
        <v>56</v>
      </c>
      <c r="AA461" s="3" t="s">
        <v>1337</v>
      </c>
      <c r="AB461" s="11" t="n">
        <v>46127</v>
      </c>
    </row>
    <row r="462" customFormat="false" ht="15" hidden="false" customHeight="false" outlineLevel="0" collapsed="false">
      <c r="A462" s="3" t="s">
        <v>1511</v>
      </c>
      <c r="B462" s="3" t="s">
        <v>378</v>
      </c>
      <c r="C462" s="3" t="s">
        <v>298</v>
      </c>
      <c r="D462" s="3" t="s">
        <v>384</v>
      </c>
      <c r="E462" s="3" t="s">
        <v>1512</v>
      </c>
      <c r="F462" s="3" t="s">
        <v>1098</v>
      </c>
      <c r="G462" s="3" t="s">
        <v>52</v>
      </c>
      <c r="H462" s="3" t="s">
        <v>1099</v>
      </c>
      <c r="I462" s="3" t="s">
        <v>1513</v>
      </c>
      <c r="M462" s="8" t="n">
        <v>931686</v>
      </c>
      <c r="P462" s="9" t="n">
        <v>41</v>
      </c>
      <c r="Q462" s="9" t="n">
        <v>29</v>
      </c>
      <c r="R462" s="9" t="n">
        <v>1</v>
      </c>
      <c r="S462" s="8" t="n">
        <v>472880</v>
      </c>
      <c r="T462" s="10" t="n">
        <v>44.8</v>
      </c>
      <c r="U462" s="9" t="n">
        <v>8</v>
      </c>
      <c r="V462" s="3" t="s">
        <v>92</v>
      </c>
      <c r="W462" s="9" t="n">
        <v>1</v>
      </c>
      <c r="Z462" s="3" t="s">
        <v>56</v>
      </c>
      <c r="AA462" s="3" t="s">
        <v>1337</v>
      </c>
      <c r="AB462" s="11" t="n">
        <v>46127</v>
      </c>
    </row>
    <row r="463" customFormat="false" ht="15" hidden="false" customHeight="false" outlineLevel="0" collapsed="false">
      <c r="A463" s="3" t="s">
        <v>1514</v>
      </c>
      <c r="B463" s="3" t="s">
        <v>378</v>
      </c>
      <c r="C463" s="3" t="s">
        <v>302</v>
      </c>
      <c r="D463" s="3" t="s">
        <v>384</v>
      </c>
      <c r="E463" s="3" t="s">
        <v>1515</v>
      </c>
      <c r="F463" s="3" t="s">
        <v>1098</v>
      </c>
      <c r="G463" s="3" t="s">
        <v>52</v>
      </c>
      <c r="H463" s="3" t="s">
        <v>1099</v>
      </c>
      <c r="I463" s="3" t="s">
        <v>1516</v>
      </c>
      <c r="M463" s="8" t="n">
        <v>340231</v>
      </c>
      <c r="P463" s="9" t="n">
        <v>71</v>
      </c>
      <c r="Q463" s="9" t="n">
        <v>6.3</v>
      </c>
      <c r="R463" s="9" t="n">
        <v>1</v>
      </c>
      <c r="S463" s="8" t="n">
        <v>302270</v>
      </c>
      <c r="T463" s="10" t="n">
        <v>93.5</v>
      </c>
      <c r="U463" s="9" t="n">
        <v>1</v>
      </c>
      <c r="V463" s="3" t="s">
        <v>62</v>
      </c>
      <c r="W463" s="9" t="n">
        <v>1</v>
      </c>
      <c r="Z463" s="3" t="s">
        <v>56</v>
      </c>
      <c r="AA463" s="3" t="s">
        <v>1337</v>
      </c>
      <c r="AB463" s="11" t="n">
        <v>46127</v>
      </c>
    </row>
    <row r="464" customFormat="false" ht="15" hidden="false" customHeight="false" outlineLevel="0" collapsed="false">
      <c r="A464" s="3" t="s">
        <v>1517</v>
      </c>
      <c r="B464" s="3" t="s">
        <v>378</v>
      </c>
      <c r="C464" s="3" t="s">
        <v>306</v>
      </c>
      <c r="D464" s="3" t="s">
        <v>384</v>
      </c>
      <c r="E464" s="3" t="s">
        <v>1518</v>
      </c>
      <c r="F464" s="3" t="s">
        <v>1098</v>
      </c>
      <c r="G464" s="3" t="s">
        <v>52</v>
      </c>
      <c r="H464" s="3" t="s">
        <v>1099</v>
      </c>
      <c r="I464" s="3" t="s">
        <v>1519</v>
      </c>
      <c r="M464" s="8" t="n">
        <v>424509</v>
      </c>
      <c r="P464" s="9" t="n">
        <v>60</v>
      </c>
      <c r="Q464" s="9" t="n">
        <v>2.9</v>
      </c>
      <c r="R464" s="9" t="n">
        <v>1</v>
      </c>
      <c r="S464" s="8" t="n">
        <v>1078318</v>
      </c>
      <c r="T464" s="10" t="n">
        <v>34.8</v>
      </c>
      <c r="U464" s="9" t="n">
        <v>5</v>
      </c>
      <c r="V464" s="3" t="s">
        <v>83</v>
      </c>
      <c r="W464" s="9" t="n">
        <v>1</v>
      </c>
      <c r="Z464" s="3" t="s">
        <v>56</v>
      </c>
      <c r="AA464" s="3" t="s">
        <v>1337</v>
      </c>
      <c r="AB464" s="11" t="n">
        <v>46127</v>
      </c>
    </row>
    <row r="465" customFormat="false" ht="15" hidden="false" customHeight="false" outlineLevel="0" collapsed="false">
      <c r="A465" s="3" t="s">
        <v>1520</v>
      </c>
      <c r="B465" s="3" t="s">
        <v>378</v>
      </c>
      <c r="C465" s="3" t="s">
        <v>310</v>
      </c>
      <c r="D465" s="3" t="s">
        <v>391</v>
      </c>
      <c r="E465" s="3" t="s">
        <v>1521</v>
      </c>
      <c r="F465" s="3" t="s">
        <v>1098</v>
      </c>
      <c r="G465" s="3" t="s">
        <v>52</v>
      </c>
      <c r="H465" s="3" t="s">
        <v>1099</v>
      </c>
      <c r="I465" s="3" t="s">
        <v>1522</v>
      </c>
      <c r="M465" s="8" t="n">
        <v>369314</v>
      </c>
      <c r="P465" s="9" t="n">
        <v>54</v>
      </c>
      <c r="Q465" s="9" t="n">
        <v>3.5</v>
      </c>
      <c r="R465" s="9" t="n">
        <v>1</v>
      </c>
      <c r="S465" s="8" t="n">
        <v>145613</v>
      </c>
      <c r="T465" s="10" t="n">
        <v>84.7</v>
      </c>
      <c r="U465" s="9" t="n">
        <v>3</v>
      </c>
      <c r="V465" s="3" t="s">
        <v>83</v>
      </c>
      <c r="W465" s="9" t="n">
        <v>1</v>
      </c>
      <c r="Z465" s="3" t="s">
        <v>56</v>
      </c>
      <c r="AA465" s="3" t="s">
        <v>1337</v>
      </c>
      <c r="AB465" s="11" t="n">
        <v>46127</v>
      </c>
    </row>
    <row r="466" customFormat="false" ht="15" hidden="false" customHeight="false" outlineLevel="0" collapsed="false">
      <c r="A466" s="3" t="s">
        <v>1523</v>
      </c>
      <c r="B466" s="3" t="s">
        <v>378</v>
      </c>
      <c r="C466" s="3" t="s">
        <v>314</v>
      </c>
      <c r="D466" s="3" t="s">
        <v>379</v>
      </c>
      <c r="E466" s="3" t="s">
        <v>1524</v>
      </c>
      <c r="F466" s="3" t="s">
        <v>1098</v>
      </c>
      <c r="G466" s="3" t="s">
        <v>52</v>
      </c>
      <c r="H466" s="3" t="s">
        <v>1099</v>
      </c>
      <c r="I466" s="3" t="s">
        <v>1525</v>
      </c>
      <c r="M466" s="8" t="n">
        <v>556354</v>
      </c>
      <c r="P466" s="9" t="n">
        <v>57</v>
      </c>
      <c r="Q466" s="9" t="n">
        <v>20.5</v>
      </c>
      <c r="R466" s="9" t="n">
        <v>1</v>
      </c>
      <c r="S466" s="8" t="n">
        <v>418015</v>
      </c>
      <c r="T466" s="10" t="n">
        <v>29.9</v>
      </c>
      <c r="U466" s="9" t="n">
        <v>7</v>
      </c>
      <c r="V466" s="3" t="s">
        <v>83</v>
      </c>
      <c r="W466" s="9" t="n">
        <v>1</v>
      </c>
      <c r="Z466" s="3" t="s">
        <v>56</v>
      </c>
      <c r="AA466" s="3" t="s">
        <v>1337</v>
      </c>
      <c r="AB466" s="11" t="n">
        <v>46127</v>
      </c>
    </row>
    <row r="467" customFormat="false" ht="15" hidden="false" customHeight="false" outlineLevel="0" collapsed="false">
      <c r="A467" s="3" t="s">
        <v>1526</v>
      </c>
      <c r="B467" s="3" t="s">
        <v>378</v>
      </c>
      <c r="C467" s="3" t="s">
        <v>318</v>
      </c>
      <c r="D467" s="3" t="s">
        <v>384</v>
      </c>
      <c r="E467" s="3" t="s">
        <v>1527</v>
      </c>
      <c r="F467" s="3" t="s">
        <v>1098</v>
      </c>
      <c r="G467" s="3" t="s">
        <v>52</v>
      </c>
      <c r="H467" s="3" t="s">
        <v>1099</v>
      </c>
      <c r="I467" s="3" t="s">
        <v>1528</v>
      </c>
      <c r="M467" s="8" t="n">
        <v>402329</v>
      </c>
      <c r="P467" s="9" t="n">
        <v>37</v>
      </c>
      <c r="Q467" s="9" t="n">
        <v>9.8</v>
      </c>
      <c r="R467" s="9" t="n">
        <v>1</v>
      </c>
      <c r="S467" s="8" t="n">
        <v>257935</v>
      </c>
      <c r="T467" s="10" t="n">
        <v>25</v>
      </c>
      <c r="U467" s="9" t="n">
        <v>4</v>
      </c>
      <c r="V467" s="3" t="s">
        <v>62</v>
      </c>
      <c r="W467" s="9" t="n">
        <v>1</v>
      </c>
      <c r="Z467" s="3" t="s">
        <v>56</v>
      </c>
      <c r="AA467" s="3" t="s">
        <v>1337</v>
      </c>
      <c r="AB467" s="11" t="n">
        <v>46127</v>
      </c>
    </row>
    <row r="468" customFormat="false" ht="15" hidden="false" customHeight="false" outlineLevel="0" collapsed="false">
      <c r="A468" s="3" t="s">
        <v>1529</v>
      </c>
      <c r="B468" s="3" t="s">
        <v>378</v>
      </c>
      <c r="C468" s="3" t="s">
        <v>322</v>
      </c>
      <c r="D468" s="3" t="s">
        <v>384</v>
      </c>
      <c r="E468" s="3" t="s">
        <v>1530</v>
      </c>
      <c r="F468" s="3" t="s">
        <v>1098</v>
      </c>
      <c r="G468" s="3" t="s">
        <v>52</v>
      </c>
      <c r="H468" s="3" t="s">
        <v>1099</v>
      </c>
      <c r="I468" s="3" t="s">
        <v>1531</v>
      </c>
      <c r="M468" s="8" t="n">
        <v>426502</v>
      </c>
      <c r="P468" s="9" t="n">
        <v>67</v>
      </c>
      <c r="Q468" s="9" t="n">
        <v>6.5</v>
      </c>
      <c r="R468" s="9" t="n">
        <v>1</v>
      </c>
      <c r="S468" s="8" t="n">
        <v>708218</v>
      </c>
      <c r="T468" s="10" t="n">
        <v>39.1</v>
      </c>
      <c r="U468" s="9" t="n">
        <v>4</v>
      </c>
      <c r="V468" s="3" t="s">
        <v>92</v>
      </c>
      <c r="W468" s="9" t="n">
        <v>1</v>
      </c>
      <c r="Z468" s="3" t="s">
        <v>56</v>
      </c>
      <c r="AA468" s="3" t="s">
        <v>1337</v>
      </c>
      <c r="AB468" s="11" t="n">
        <v>46127</v>
      </c>
    </row>
    <row r="469" customFormat="false" ht="15" hidden="false" customHeight="false" outlineLevel="0" collapsed="false">
      <c r="A469" s="3" t="s">
        <v>1532</v>
      </c>
      <c r="B469" s="3" t="s">
        <v>378</v>
      </c>
      <c r="C469" s="3" t="s">
        <v>326</v>
      </c>
      <c r="D469" s="3" t="s">
        <v>384</v>
      </c>
      <c r="E469" s="3" t="s">
        <v>1533</v>
      </c>
      <c r="F469" s="3" t="s">
        <v>1098</v>
      </c>
      <c r="G469" s="3" t="s">
        <v>52</v>
      </c>
      <c r="H469" s="3" t="s">
        <v>1099</v>
      </c>
      <c r="I469" s="3" t="s">
        <v>1534</v>
      </c>
      <c r="M469" s="8" t="n">
        <v>764808</v>
      </c>
      <c r="P469" s="9" t="n">
        <v>62</v>
      </c>
      <c r="Q469" s="9" t="n">
        <v>15.2</v>
      </c>
      <c r="R469" s="9" t="n">
        <v>1</v>
      </c>
      <c r="S469" s="8" t="n">
        <v>230336</v>
      </c>
      <c r="T469" s="10" t="n">
        <v>53.9</v>
      </c>
      <c r="U469" s="9" t="n">
        <v>6</v>
      </c>
      <c r="V469" s="3" t="s">
        <v>83</v>
      </c>
      <c r="W469" s="9" t="n">
        <v>1</v>
      </c>
      <c r="Z469" s="3" t="s">
        <v>56</v>
      </c>
      <c r="AA469" s="3" t="s">
        <v>1337</v>
      </c>
      <c r="AB469" s="11" t="n">
        <v>46127</v>
      </c>
    </row>
    <row r="470" customFormat="false" ht="15" hidden="false" customHeight="false" outlineLevel="0" collapsed="false">
      <c r="A470" s="3" t="s">
        <v>1535</v>
      </c>
      <c r="B470" s="3" t="s">
        <v>378</v>
      </c>
      <c r="C470" s="3" t="s">
        <v>330</v>
      </c>
      <c r="D470" s="3" t="s">
        <v>391</v>
      </c>
      <c r="E470" s="3" t="s">
        <v>1536</v>
      </c>
      <c r="F470" s="3" t="s">
        <v>1098</v>
      </c>
      <c r="G470" s="3" t="s">
        <v>52</v>
      </c>
      <c r="H470" s="3" t="s">
        <v>1099</v>
      </c>
      <c r="I470" s="3" t="s">
        <v>1537</v>
      </c>
      <c r="M470" s="8" t="n">
        <v>332931</v>
      </c>
      <c r="P470" s="9" t="n">
        <v>45</v>
      </c>
      <c r="Q470" s="9" t="n">
        <v>16.3</v>
      </c>
      <c r="R470" s="9" t="n">
        <v>2</v>
      </c>
      <c r="S470" s="8" t="n">
        <v>102852</v>
      </c>
      <c r="T470" s="10" t="n">
        <v>69.5</v>
      </c>
      <c r="U470" s="9" t="n">
        <v>3</v>
      </c>
      <c r="V470" s="3" t="s">
        <v>62</v>
      </c>
      <c r="W470" s="9" t="n">
        <v>1</v>
      </c>
      <c r="Z470" s="3" t="s">
        <v>56</v>
      </c>
      <c r="AA470" s="3" t="s">
        <v>1337</v>
      </c>
      <c r="AB470" s="11" t="n">
        <v>46127</v>
      </c>
    </row>
    <row r="471" customFormat="false" ht="15" hidden="false" customHeight="false" outlineLevel="0" collapsed="false">
      <c r="A471" s="3" t="s">
        <v>1538</v>
      </c>
      <c r="B471" s="3" t="s">
        <v>378</v>
      </c>
      <c r="C471" s="3" t="s">
        <v>334</v>
      </c>
      <c r="D471" s="3" t="s">
        <v>391</v>
      </c>
      <c r="E471" s="3" t="s">
        <v>1539</v>
      </c>
      <c r="F471" s="3" t="s">
        <v>1098</v>
      </c>
      <c r="G471" s="3" t="s">
        <v>52</v>
      </c>
      <c r="H471" s="3" t="s">
        <v>1099</v>
      </c>
      <c r="I471" s="3" t="s">
        <v>1540</v>
      </c>
      <c r="M471" s="8" t="n">
        <v>437479</v>
      </c>
      <c r="P471" s="9" t="n">
        <v>77</v>
      </c>
      <c r="Q471" s="9" t="n">
        <v>20.8</v>
      </c>
      <c r="R471" s="9" t="n">
        <v>1</v>
      </c>
      <c r="S471" s="8" t="n">
        <v>637836</v>
      </c>
      <c r="T471" s="10" t="n">
        <v>73.2</v>
      </c>
      <c r="U471" s="9" t="n">
        <v>3</v>
      </c>
      <c r="V471" s="3" t="s">
        <v>83</v>
      </c>
      <c r="W471" s="9" t="n">
        <v>1</v>
      </c>
      <c r="Z471" s="3" t="s">
        <v>56</v>
      </c>
      <c r="AA471" s="3" t="s">
        <v>1337</v>
      </c>
      <c r="AB471" s="11" t="n">
        <v>46127</v>
      </c>
    </row>
    <row r="472" customFormat="false" ht="15" hidden="false" customHeight="false" outlineLevel="0" collapsed="false">
      <c r="A472" s="3" t="s">
        <v>1541</v>
      </c>
      <c r="B472" s="3" t="s">
        <v>378</v>
      </c>
      <c r="C472" s="3" t="s">
        <v>338</v>
      </c>
      <c r="D472" s="3" t="s">
        <v>379</v>
      </c>
      <c r="E472" s="3" t="s">
        <v>1542</v>
      </c>
      <c r="F472" s="3" t="s">
        <v>1098</v>
      </c>
      <c r="G472" s="3" t="s">
        <v>52</v>
      </c>
      <c r="H472" s="3" t="s">
        <v>1099</v>
      </c>
      <c r="I472" s="3" t="s">
        <v>1543</v>
      </c>
      <c r="M472" s="8" t="n">
        <v>1115542</v>
      </c>
      <c r="P472" s="9" t="n">
        <v>41</v>
      </c>
      <c r="Q472" s="9" t="n">
        <v>28.8</v>
      </c>
      <c r="R472" s="9" t="n">
        <v>1</v>
      </c>
      <c r="S472" s="8" t="n">
        <v>1162310</v>
      </c>
      <c r="T472" s="10" t="n">
        <v>94.4</v>
      </c>
      <c r="U472" s="9" t="n">
        <v>1</v>
      </c>
      <c r="V472" s="3" t="s">
        <v>92</v>
      </c>
      <c r="W472" s="9" t="n">
        <v>1</v>
      </c>
      <c r="Z472" s="3" t="s">
        <v>56</v>
      </c>
      <c r="AA472" s="3" t="s">
        <v>1337</v>
      </c>
      <c r="AB472" s="11" t="n">
        <v>46127</v>
      </c>
    </row>
    <row r="473" customFormat="false" ht="15" hidden="false" customHeight="false" outlineLevel="0" collapsed="false">
      <c r="A473" s="3" t="s">
        <v>1544</v>
      </c>
      <c r="B473" s="3" t="s">
        <v>378</v>
      </c>
      <c r="C473" s="3" t="s">
        <v>342</v>
      </c>
      <c r="D473" s="3" t="s">
        <v>384</v>
      </c>
      <c r="E473" s="3" t="s">
        <v>1545</v>
      </c>
      <c r="F473" s="3" t="s">
        <v>1098</v>
      </c>
      <c r="G473" s="3" t="s">
        <v>52</v>
      </c>
      <c r="H473" s="3" t="s">
        <v>1099</v>
      </c>
      <c r="I473" s="3" t="s">
        <v>1546</v>
      </c>
      <c r="M473" s="8" t="n">
        <v>284714</v>
      </c>
      <c r="P473" s="9" t="n">
        <v>36</v>
      </c>
      <c r="Q473" s="9" t="n">
        <v>23.8</v>
      </c>
      <c r="R473" s="9" t="n">
        <v>1</v>
      </c>
      <c r="S473" s="8" t="n">
        <v>181494</v>
      </c>
      <c r="T473" s="10" t="n">
        <v>80.6</v>
      </c>
      <c r="U473" s="9" t="n">
        <v>6</v>
      </c>
      <c r="V473" s="3" t="s">
        <v>55</v>
      </c>
      <c r="W473" s="9" t="n">
        <v>1</v>
      </c>
      <c r="Z473" s="3" t="s">
        <v>56</v>
      </c>
      <c r="AA473" s="3" t="s">
        <v>1337</v>
      </c>
      <c r="AB473" s="11" t="n">
        <v>46127</v>
      </c>
    </row>
    <row r="474" customFormat="false" ht="15" hidden="false" customHeight="false" outlineLevel="0" collapsed="false">
      <c r="A474" s="3" t="s">
        <v>1547</v>
      </c>
      <c r="B474" s="3" t="s">
        <v>378</v>
      </c>
      <c r="C474" s="3" t="s">
        <v>346</v>
      </c>
      <c r="D474" s="3" t="s">
        <v>384</v>
      </c>
      <c r="E474" s="3" t="s">
        <v>1548</v>
      </c>
      <c r="F474" s="3" t="s">
        <v>1098</v>
      </c>
      <c r="G474" s="3" t="s">
        <v>52</v>
      </c>
      <c r="H474" s="3" t="s">
        <v>1099</v>
      </c>
      <c r="I474" s="3" t="s">
        <v>1549</v>
      </c>
      <c r="M474" s="8" t="n">
        <v>129300</v>
      </c>
      <c r="P474" s="9" t="n">
        <v>47</v>
      </c>
      <c r="Q474" s="9" t="n">
        <v>24.9</v>
      </c>
      <c r="R474" s="9" t="n">
        <v>1</v>
      </c>
      <c r="S474" s="8" t="n">
        <v>395906</v>
      </c>
      <c r="T474" s="10" t="n">
        <v>71.9</v>
      </c>
      <c r="U474" s="9" t="n">
        <v>5</v>
      </c>
      <c r="V474" s="3" t="s">
        <v>62</v>
      </c>
      <c r="W474" s="9" t="n">
        <v>1</v>
      </c>
      <c r="Z474" s="3" t="s">
        <v>56</v>
      </c>
      <c r="AA474" s="3" t="s">
        <v>1337</v>
      </c>
      <c r="AB474" s="11" t="n">
        <v>46127</v>
      </c>
    </row>
    <row r="475" customFormat="false" ht="15" hidden="false" customHeight="false" outlineLevel="0" collapsed="false">
      <c r="A475" s="3" t="s">
        <v>1550</v>
      </c>
      <c r="B475" s="3" t="s">
        <v>378</v>
      </c>
      <c r="C475" s="3" t="s">
        <v>350</v>
      </c>
      <c r="D475" s="3" t="s">
        <v>379</v>
      </c>
      <c r="E475" s="3" t="s">
        <v>1551</v>
      </c>
      <c r="F475" s="3" t="s">
        <v>1098</v>
      </c>
      <c r="G475" s="3" t="s">
        <v>52</v>
      </c>
      <c r="H475" s="3" t="s">
        <v>1099</v>
      </c>
      <c r="I475" s="3" t="s">
        <v>1552</v>
      </c>
      <c r="M475" s="8" t="n">
        <v>904103</v>
      </c>
      <c r="P475" s="9" t="n">
        <v>55</v>
      </c>
      <c r="Q475" s="9" t="n">
        <v>25.2</v>
      </c>
      <c r="R475" s="9" t="n">
        <v>1</v>
      </c>
      <c r="S475" s="8" t="n">
        <v>828256</v>
      </c>
      <c r="T475" s="10" t="n">
        <v>62.8</v>
      </c>
      <c r="U475" s="9" t="n">
        <v>4</v>
      </c>
      <c r="V475" s="3" t="s">
        <v>62</v>
      </c>
      <c r="W475" s="9" t="n">
        <v>1</v>
      </c>
      <c r="Z475" s="3" t="s">
        <v>56</v>
      </c>
      <c r="AA475" s="3" t="s">
        <v>1337</v>
      </c>
      <c r="AB475" s="11" t="n">
        <v>46127</v>
      </c>
    </row>
    <row r="476" customFormat="false" ht="15" hidden="false" customHeight="false" outlineLevel="0" collapsed="false">
      <c r="A476" s="3" t="s">
        <v>1553</v>
      </c>
      <c r="B476" s="3" t="s">
        <v>378</v>
      </c>
      <c r="C476" s="3" t="s">
        <v>354</v>
      </c>
      <c r="D476" s="3" t="s">
        <v>391</v>
      </c>
      <c r="E476" s="3" t="s">
        <v>1554</v>
      </c>
      <c r="F476" s="3" t="s">
        <v>1098</v>
      </c>
      <c r="G476" s="3" t="s">
        <v>52</v>
      </c>
      <c r="H476" s="3" t="s">
        <v>1099</v>
      </c>
      <c r="I476" s="3" t="s">
        <v>1555</v>
      </c>
      <c r="M476" s="8" t="n">
        <v>136609</v>
      </c>
      <c r="P476" s="9" t="n">
        <v>59</v>
      </c>
      <c r="Q476" s="9" t="n">
        <v>20.8</v>
      </c>
      <c r="R476" s="9" t="n">
        <v>1</v>
      </c>
      <c r="S476" s="8" t="n">
        <v>265383</v>
      </c>
      <c r="T476" s="10" t="n">
        <v>36.1</v>
      </c>
      <c r="U476" s="9" t="n">
        <v>3</v>
      </c>
      <c r="V476" s="3" t="s">
        <v>55</v>
      </c>
      <c r="W476" s="9" t="n">
        <v>1</v>
      </c>
      <c r="Z476" s="3" t="s">
        <v>56</v>
      </c>
      <c r="AA476" s="3" t="s">
        <v>1337</v>
      </c>
      <c r="AB476" s="11" t="n">
        <v>46127</v>
      </c>
    </row>
    <row r="477" customFormat="false" ht="15" hidden="false" customHeight="false" outlineLevel="0" collapsed="false">
      <c r="A477" s="3" t="s">
        <v>1556</v>
      </c>
      <c r="B477" s="3" t="s">
        <v>378</v>
      </c>
      <c r="C477" s="3" t="s">
        <v>358</v>
      </c>
      <c r="D477" s="3" t="s">
        <v>391</v>
      </c>
      <c r="E477" s="3" t="s">
        <v>1557</v>
      </c>
      <c r="F477" s="3" t="s">
        <v>1098</v>
      </c>
      <c r="G477" s="3" t="s">
        <v>52</v>
      </c>
      <c r="H477" s="3" t="s">
        <v>1099</v>
      </c>
      <c r="I477" s="3" t="s">
        <v>1558</v>
      </c>
      <c r="M477" s="8" t="n">
        <v>500543</v>
      </c>
      <c r="P477" s="9" t="n">
        <v>43</v>
      </c>
      <c r="Q477" s="9" t="n">
        <v>15.1</v>
      </c>
      <c r="R477" s="9" t="n">
        <v>1</v>
      </c>
      <c r="S477" s="8" t="n">
        <v>831913</v>
      </c>
      <c r="T477" s="10" t="n">
        <v>28.8</v>
      </c>
      <c r="U477" s="9" t="n">
        <v>8</v>
      </c>
      <c r="V477" s="3" t="s">
        <v>55</v>
      </c>
      <c r="W477" s="9" t="n">
        <v>1</v>
      </c>
      <c r="Z477" s="3" t="s">
        <v>56</v>
      </c>
      <c r="AA477" s="3" t="s">
        <v>1337</v>
      </c>
      <c r="AB477" s="11" t="n">
        <v>46127</v>
      </c>
    </row>
    <row r="478" customFormat="false" ht="15" hidden="false" customHeight="false" outlineLevel="0" collapsed="false">
      <c r="A478" s="3" t="s">
        <v>1559</v>
      </c>
      <c r="B478" s="3" t="s">
        <v>378</v>
      </c>
      <c r="C478" s="3" t="s">
        <v>362</v>
      </c>
      <c r="D478" s="3" t="s">
        <v>379</v>
      </c>
      <c r="E478" s="3" t="s">
        <v>1560</v>
      </c>
      <c r="F478" s="3" t="s">
        <v>1098</v>
      </c>
      <c r="G478" s="3" t="s">
        <v>52</v>
      </c>
      <c r="H478" s="3" t="s">
        <v>1099</v>
      </c>
      <c r="I478" s="3" t="s">
        <v>1561</v>
      </c>
      <c r="M478" s="8" t="n">
        <v>401783</v>
      </c>
      <c r="P478" s="9" t="n">
        <v>57</v>
      </c>
      <c r="Q478" s="9" t="n">
        <v>19.5</v>
      </c>
      <c r="R478" s="9" t="n">
        <v>1</v>
      </c>
      <c r="S478" s="8" t="n">
        <v>205526</v>
      </c>
      <c r="T478" s="10" t="n">
        <v>52.4</v>
      </c>
      <c r="U478" s="9" t="n">
        <v>9</v>
      </c>
      <c r="V478" s="3" t="s">
        <v>92</v>
      </c>
      <c r="W478" s="9" t="n">
        <v>1</v>
      </c>
      <c r="Z478" s="3" t="s">
        <v>56</v>
      </c>
      <c r="AA478" s="3" t="s">
        <v>1337</v>
      </c>
      <c r="AB478" s="11" t="n">
        <v>46127</v>
      </c>
    </row>
    <row r="479" customFormat="false" ht="15" hidden="false" customHeight="false" outlineLevel="0" collapsed="false">
      <c r="A479" s="3" t="s">
        <v>1562</v>
      </c>
      <c r="B479" s="3" t="s">
        <v>378</v>
      </c>
      <c r="C479" s="3" t="s">
        <v>366</v>
      </c>
      <c r="D479" s="3" t="s">
        <v>379</v>
      </c>
      <c r="E479" s="3" t="s">
        <v>1563</v>
      </c>
      <c r="F479" s="3" t="s">
        <v>1098</v>
      </c>
      <c r="G479" s="3" t="s">
        <v>52</v>
      </c>
      <c r="H479" s="3" t="s">
        <v>1099</v>
      </c>
      <c r="I479" s="3" t="s">
        <v>1564</v>
      </c>
      <c r="M479" s="8" t="n">
        <v>349484</v>
      </c>
      <c r="P479" s="9" t="n">
        <v>67</v>
      </c>
      <c r="Q479" s="9" t="n">
        <v>19.1</v>
      </c>
      <c r="R479" s="9" t="n">
        <v>1</v>
      </c>
      <c r="S479" s="8" t="n">
        <v>493403</v>
      </c>
      <c r="T479" s="10" t="n">
        <v>44.4</v>
      </c>
      <c r="U479" s="9" t="n">
        <v>6</v>
      </c>
      <c r="V479" s="3" t="s">
        <v>55</v>
      </c>
      <c r="W479" s="9" t="n">
        <v>1</v>
      </c>
      <c r="Z479" s="3" t="s">
        <v>56</v>
      </c>
      <c r="AA479" s="3" t="s">
        <v>1337</v>
      </c>
      <c r="AB479" s="11" t="n">
        <v>46127</v>
      </c>
    </row>
    <row r="480" customFormat="false" ht="15" hidden="false" customHeight="false" outlineLevel="0" collapsed="false">
      <c r="A480" s="3" t="s">
        <v>1565</v>
      </c>
      <c r="B480" s="3" t="s">
        <v>378</v>
      </c>
      <c r="C480" s="3" t="s">
        <v>370</v>
      </c>
      <c r="D480" s="3" t="s">
        <v>384</v>
      </c>
      <c r="E480" s="3" t="s">
        <v>1566</v>
      </c>
      <c r="F480" s="3" t="s">
        <v>1098</v>
      </c>
      <c r="G480" s="3" t="s">
        <v>52</v>
      </c>
      <c r="H480" s="3" t="s">
        <v>1099</v>
      </c>
      <c r="I480" s="3" t="s">
        <v>1567</v>
      </c>
      <c r="M480" s="8" t="n">
        <v>152985</v>
      </c>
      <c r="P480" s="9" t="n">
        <v>69</v>
      </c>
      <c r="Q480" s="9" t="n">
        <v>19.6</v>
      </c>
      <c r="R480" s="9" t="n">
        <v>3</v>
      </c>
      <c r="S480" s="8" t="n">
        <v>974043</v>
      </c>
      <c r="T480" s="10" t="n">
        <v>29.8</v>
      </c>
      <c r="U480" s="9" t="n">
        <v>9</v>
      </c>
      <c r="V480" s="3" t="s">
        <v>55</v>
      </c>
      <c r="W480" s="9" t="n">
        <v>1</v>
      </c>
      <c r="Z480" s="3" t="s">
        <v>56</v>
      </c>
      <c r="AA480" s="3" t="s">
        <v>1337</v>
      </c>
      <c r="AB480" s="11" t="n">
        <v>46127</v>
      </c>
    </row>
    <row r="481" customFormat="false" ht="15" hidden="false" customHeight="false" outlineLevel="0" collapsed="false">
      <c r="A481" s="3" t="s">
        <v>1568</v>
      </c>
      <c r="B481" s="3" t="s">
        <v>378</v>
      </c>
      <c r="C481" s="3" t="s">
        <v>374</v>
      </c>
      <c r="D481" s="3" t="s">
        <v>384</v>
      </c>
      <c r="E481" s="3" t="s">
        <v>1569</v>
      </c>
      <c r="F481" s="3" t="s">
        <v>1098</v>
      </c>
      <c r="G481" s="3" t="s">
        <v>52</v>
      </c>
      <c r="H481" s="3" t="s">
        <v>1099</v>
      </c>
      <c r="I481" s="3" t="s">
        <v>1570</v>
      </c>
      <c r="M481" s="8" t="n">
        <v>1050801</v>
      </c>
      <c r="P481" s="9" t="n">
        <v>56</v>
      </c>
      <c r="Q481" s="9" t="n">
        <v>27.9</v>
      </c>
      <c r="R481" s="9" t="n">
        <v>1</v>
      </c>
      <c r="S481" s="8" t="n">
        <v>250719</v>
      </c>
      <c r="T481" s="10" t="n">
        <v>73.5</v>
      </c>
      <c r="U481" s="9" t="n">
        <v>9</v>
      </c>
      <c r="V481" s="3" t="s">
        <v>55</v>
      </c>
      <c r="W481" s="9" t="n">
        <v>1</v>
      </c>
      <c r="Z481" s="3" t="s">
        <v>56</v>
      </c>
      <c r="AA481" s="3" t="s">
        <v>1337</v>
      </c>
      <c r="AB481" s="11" t="n">
        <v>46127</v>
      </c>
    </row>
    <row r="482" customFormat="false" ht="15" hidden="false" customHeight="false" outlineLevel="0" collapsed="false">
      <c r="A482" s="3" t="s">
        <v>1571</v>
      </c>
      <c r="B482" s="3" t="s">
        <v>48</v>
      </c>
      <c r="C482" s="3" t="s">
        <v>1572</v>
      </c>
      <c r="E482" s="3" t="s">
        <v>1573</v>
      </c>
      <c r="F482" s="3" t="s">
        <v>1574</v>
      </c>
      <c r="G482" s="3" t="s">
        <v>1575</v>
      </c>
      <c r="H482" s="3" t="s">
        <v>1576</v>
      </c>
      <c r="I482" s="3" t="s">
        <v>1577</v>
      </c>
      <c r="M482" s="8" t="n">
        <v>135327</v>
      </c>
      <c r="N482" s="8" t="n">
        <v>216102</v>
      </c>
      <c r="O482" s="9" t="n">
        <v>29.9</v>
      </c>
      <c r="P482" s="9" t="n">
        <v>73</v>
      </c>
      <c r="R482" s="9" t="n">
        <v>1</v>
      </c>
      <c r="T482" s="10" t="n">
        <v>86.4</v>
      </c>
      <c r="U482" s="9" t="n">
        <v>3</v>
      </c>
      <c r="V482" s="3" t="s">
        <v>83</v>
      </c>
      <c r="W482" s="9" t="n">
        <v>0.75</v>
      </c>
      <c r="Z482" s="3" t="s">
        <v>1578</v>
      </c>
      <c r="AA482" s="3" t="s">
        <v>1579</v>
      </c>
      <c r="AB482" s="11" t="n">
        <v>46127</v>
      </c>
    </row>
    <row r="483" customFormat="false" ht="15" hidden="false" customHeight="false" outlineLevel="0" collapsed="false">
      <c r="A483" s="3" t="s">
        <v>1580</v>
      </c>
      <c r="B483" s="3" t="s">
        <v>48</v>
      </c>
      <c r="C483" s="3" t="s">
        <v>1581</v>
      </c>
      <c r="E483" s="3" t="s">
        <v>1582</v>
      </c>
      <c r="F483" s="3" t="s">
        <v>1574</v>
      </c>
      <c r="G483" s="3" t="s">
        <v>1575</v>
      </c>
      <c r="H483" s="3" t="s">
        <v>1576</v>
      </c>
      <c r="I483" s="3" t="s">
        <v>1543</v>
      </c>
      <c r="M483" s="8" t="n">
        <v>111985</v>
      </c>
      <c r="N483" s="8" t="n">
        <v>579410</v>
      </c>
      <c r="O483" s="9" t="n">
        <v>8.2</v>
      </c>
      <c r="P483" s="9" t="n">
        <v>37</v>
      </c>
      <c r="R483" s="9" t="n">
        <v>1</v>
      </c>
      <c r="T483" s="10" t="n">
        <v>50.2</v>
      </c>
      <c r="U483" s="9" t="n">
        <v>9</v>
      </c>
      <c r="V483" s="3" t="s">
        <v>83</v>
      </c>
      <c r="W483" s="9" t="n">
        <v>0.75</v>
      </c>
      <c r="Z483" s="3" t="s">
        <v>1578</v>
      </c>
      <c r="AA483" s="3" t="s">
        <v>1579</v>
      </c>
      <c r="AB483" s="11" t="n">
        <v>46127</v>
      </c>
    </row>
    <row r="484" customFormat="false" ht="15" hidden="false" customHeight="false" outlineLevel="0" collapsed="false">
      <c r="A484" s="3" t="s">
        <v>1583</v>
      </c>
      <c r="B484" s="3" t="s">
        <v>48</v>
      </c>
      <c r="C484" s="3" t="s">
        <v>1584</v>
      </c>
      <c r="E484" s="3" t="s">
        <v>1585</v>
      </c>
      <c r="F484" s="3" t="s">
        <v>1574</v>
      </c>
      <c r="G484" s="3" t="s">
        <v>1575</v>
      </c>
      <c r="H484" s="3" t="s">
        <v>1576</v>
      </c>
      <c r="I484" s="3" t="s">
        <v>1586</v>
      </c>
      <c r="M484" s="8" t="n">
        <v>379590</v>
      </c>
      <c r="N484" s="8" t="n">
        <v>72559</v>
      </c>
      <c r="O484" s="9" t="n">
        <v>15.1</v>
      </c>
      <c r="P484" s="9" t="n">
        <v>43</v>
      </c>
      <c r="R484" s="9" t="n">
        <v>1</v>
      </c>
      <c r="T484" s="10" t="n">
        <v>19.5</v>
      </c>
      <c r="U484" s="9" t="n">
        <v>4</v>
      </c>
      <c r="V484" s="3" t="s">
        <v>55</v>
      </c>
      <c r="W484" s="9" t="n">
        <v>0.75</v>
      </c>
      <c r="Z484" s="3" t="s">
        <v>1578</v>
      </c>
      <c r="AA484" s="3" t="s">
        <v>1579</v>
      </c>
      <c r="AB484" s="11" t="n">
        <v>46127</v>
      </c>
    </row>
    <row r="485" customFormat="false" ht="15" hidden="false" customHeight="false" outlineLevel="0" collapsed="false">
      <c r="A485" s="3" t="s">
        <v>1587</v>
      </c>
      <c r="B485" s="3" t="s">
        <v>48</v>
      </c>
      <c r="C485" s="3" t="s">
        <v>1588</v>
      </c>
      <c r="E485" s="3" t="s">
        <v>1589</v>
      </c>
      <c r="F485" s="3" t="s">
        <v>1574</v>
      </c>
      <c r="G485" s="3" t="s">
        <v>1575</v>
      </c>
      <c r="H485" s="3" t="s">
        <v>1576</v>
      </c>
      <c r="I485" s="3" t="s">
        <v>1590</v>
      </c>
      <c r="M485" s="8" t="n">
        <v>324527</v>
      </c>
      <c r="N485" s="8" t="n">
        <v>279849</v>
      </c>
      <c r="O485" s="9" t="n">
        <v>26.7</v>
      </c>
      <c r="P485" s="9" t="n">
        <v>46</v>
      </c>
      <c r="R485" s="9" t="n">
        <v>3</v>
      </c>
      <c r="T485" s="10" t="n">
        <v>83.5</v>
      </c>
      <c r="U485" s="9" t="n">
        <v>9</v>
      </c>
      <c r="V485" s="3" t="s">
        <v>83</v>
      </c>
      <c r="W485" s="9" t="n">
        <v>0.75</v>
      </c>
      <c r="Z485" s="3" t="s">
        <v>1578</v>
      </c>
      <c r="AA485" s="3" t="s">
        <v>1579</v>
      </c>
      <c r="AB485" s="11" t="n">
        <v>46127</v>
      </c>
    </row>
    <row r="486" customFormat="false" ht="15" hidden="false" customHeight="false" outlineLevel="0" collapsed="false">
      <c r="A486" s="3" t="s">
        <v>1591</v>
      </c>
      <c r="B486" s="3" t="s">
        <v>48</v>
      </c>
      <c r="C486" s="3" t="s">
        <v>1592</v>
      </c>
      <c r="E486" s="3" t="s">
        <v>1593</v>
      </c>
      <c r="F486" s="3" t="s">
        <v>1574</v>
      </c>
      <c r="G486" s="3" t="s">
        <v>1575</v>
      </c>
      <c r="H486" s="3" t="s">
        <v>1576</v>
      </c>
      <c r="I486" s="3" t="s">
        <v>1594</v>
      </c>
      <c r="M486" s="8" t="n">
        <v>342704</v>
      </c>
      <c r="N486" s="8" t="n">
        <v>144985</v>
      </c>
      <c r="O486" s="9" t="n">
        <v>25.7</v>
      </c>
      <c r="P486" s="9" t="n">
        <v>41</v>
      </c>
      <c r="R486" s="9" t="n">
        <v>1</v>
      </c>
      <c r="T486" s="10" t="n">
        <v>59.3</v>
      </c>
      <c r="U486" s="9" t="n">
        <v>1</v>
      </c>
      <c r="V486" s="3" t="s">
        <v>92</v>
      </c>
      <c r="W486" s="9" t="n">
        <v>0.75</v>
      </c>
      <c r="Z486" s="3" t="s">
        <v>1578</v>
      </c>
      <c r="AA486" s="3" t="s">
        <v>1579</v>
      </c>
      <c r="AB486" s="11" t="n">
        <v>46127</v>
      </c>
    </row>
    <row r="487" customFormat="false" ht="15" hidden="false" customHeight="false" outlineLevel="0" collapsed="false">
      <c r="A487" s="3" t="s">
        <v>1595</v>
      </c>
      <c r="B487" s="3" t="s">
        <v>48</v>
      </c>
      <c r="C487" s="3" t="s">
        <v>1596</v>
      </c>
      <c r="E487" s="3" t="s">
        <v>1597</v>
      </c>
      <c r="F487" s="3" t="s">
        <v>1574</v>
      </c>
      <c r="G487" s="3" t="s">
        <v>1575</v>
      </c>
      <c r="H487" s="3" t="s">
        <v>1576</v>
      </c>
      <c r="I487" s="3" t="s">
        <v>1598</v>
      </c>
      <c r="M487" s="8" t="n">
        <v>237820</v>
      </c>
      <c r="N487" s="8" t="n">
        <v>215079</v>
      </c>
      <c r="O487" s="9" t="n">
        <v>14.7</v>
      </c>
      <c r="P487" s="9" t="n">
        <v>73</v>
      </c>
      <c r="R487" s="9" t="n">
        <v>1</v>
      </c>
      <c r="T487" s="10" t="n">
        <v>42</v>
      </c>
      <c r="U487" s="9" t="n">
        <v>2</v>
      </c>
      <c r="V487" s="3" t="s">
        <v>83</v>
      </c>
      <c r="W487" s="9" t="n">
        <v>0.75</v>
      </c>
      <c r="Z487" s="3" t="s">
        <v>1578</v>
      </c>
      <c r="AA487" s="3" t="s">
        <v>1579</v>
      </c>
      <c r="AB487" s="11" t="n">
        <v>46127</v>
      </c>
    </row>
    <row r="488" customFormat="false" ht="15" hidden="false" customHeight="false" outlineLevel="0" collapsed="false">
      <c r="A488" s="3" t="s">
        <v>1599</v>
      </c>
      <c r="B488" s="3" t="s">
        <v>48</v>
      </c>
      <c r="C488" s="3" t="s">
        <v>1600</v>
      </c>
      <c r="E488" s="3" t="s">
        <v>1601</v>
      </c>
      <c r="F488" s="3" t="s">
        <v>1574</v>
      </c>
      <c r="G488" s="3" t="s">
        <v>1575</v>
      </c>
      <c r="H488" s="3" t="s">
        <v>1576</v>
      </c>
      <c r="I488" s="3" t="s">
        <v>1602</v>
      </c>
      <c r="M488" s="8" t="n">
        <v>1447300</v>
      </c>
      <c r="N488" s="8" t="n">
        <v>77750</v>
      </c>
      <c r="O488" s="9" t="n">
        <v>18.2</v>
      </c>
      <c r="P488" s="9" t="n">
        <v>41</v>
      </c>
      <c r="R488" s="9" t="n">
        <v>1</v>
      </c>
      <c r="T488" s="10" t="n">
        <v>53.7</v>
      </c>
      <c r="U488" s="9" t="n">
        <v>5</v>
      </c>
      <c r="V488" s="3" t="s">
        <v>55</v>
      </c>
      <c r="W488" s="9" t="n">
        <v>0.75</v>
      </c>
      <c r="Z488" s="3" t="s">
        <v>1578</v>
      </c>
      <c r="AA488" s="3" t="s">
        <v>1579</v>
      </c>
      <c r="AB488" s="11" t="n">
        <v>46127</v>
      </c>
    </row>
    <row r="489" customFormat="false" ht="15" hidden="false" customHeight="false" outlineLevel="0" collapsed="false">
      <c r="A489" s="3" t="s">
        <v>1603</v>
      </c>
      <c r="B489" s="3" t="s">
        <v>48</v>
      </c>
      <c r="C489" s="3" t="s">
        <v>1604</v>
      </c>
      <c r="E489" s="3" t="s">
        <v>1605</v>
      </c>
      <c r="F489" s="3" t="s">
        <v>1574</v>
      </c>
      <c r="G489" s="3" t="s">
        <v>1575</v>
      </c>
      <c r="H489" s="3" t="s">
        <v>1576</v>
      </c>
      <c r="I489" s="3" t="s">
        <v>1606</v>
      </c>
      <c r="M489" s="8" t="n">
        <v>165063</v>
      </c>
      <c r="N489" s="8" t="n">
        <v>142952</v>
      </c>
      <c r="O489" s="9" t="n">
        <v>14.1</v>
      </c>
      <c r="P489" s="9" t="n">
        <v>46</v>
      </c>
      <c r="R489" s="9" t="n">
        <v>1</v>
      </c>
      <c r="T489" s="10" t="n">
        <v>52.9</v>
      </c>
      <c r="U489" s="9" t="n">
        <v>4</v>
      </c>
      <c r="V489" s="3" t="s">
        <v>55</v>
      </c>
      <c r="W489" s="9" t="n">
        <v>0.75</v>
      </c>
      <c r="Z489" s="3" t="s">
        <v>1578</v>
      </c>
      <c r="AA489" s="3" t="s">
        <v>1579</v>
      </c>
      <c r="AB489" s="11" t="n">
        <v>46127</v>
      </c>
    </row>
    <row r="490" customFormat="false" ht="15" hidden="false" customHeight="false" outlineLevel="0" collapsed="false">
      <c r="A490" s="3" t="s">
        <v>1607</v>
      </c>
      <c r="B490" s="3" t="s">
        <v>48</v>
      </c>
      <c r="C490" s="3" t="s">
        <v>1608</v>
      </c>
      <c r="E490" s="3" t="s">
        <v>1609</v>
      </c>
      <c r="F490" s="3" t="s">
        <v>1574</v>
      </c>
      <c r="G490" s="3" t="s">
        <v>1575</v>
      </c>
      <c r="H490" s="3" t="s">
        <v>1576</v>
      </c>
      <c r="I490" s="3" t="s">
        <v>1610</v>
      </c>
      <c r="M490" s="8" t="n">
        <v>725995</v>
      </c>
      <c r="N490" s="8" t="n">
        <v>254543</v>
      </c>
      <c r="O490" s="9" t="n">
        <v>25.7</v>
      </c>
      <c r="P490" s="9" t="n">
        <v>51</v>
      </c>
      <c r="R490" s="9" t="n">
        <v>1</v>
      </c>
      <c r="T490" s="10" t="n">
        <v>70.5</v>
      </c>
      <c r="U490" s="9" t="n">
        <v>10</v>
      </c>
      <c r="V490" s="3" t="s">
        <v>83</v>
      </c>
      <c r="W490" s="9" t="n">
        <v>0.75</v>
      </c>
      <c r="Z490" s="3" t="s">
        <v>1578</v>
      </c>
      <c r="AA490" s="3" t="s">
        <v>1579</v>
      </c>
      <c r="AB490" s="11" t="n">
        <v>46127</v>
      </c>
    </row>
    <row r="491" customFormat="false" ht="15" hidden="false" customHeight="false" outlineLevel="0" collapsed="false">
      <c r="A491" s="3" t="s">
        <v>1611</v>
      </c>
      <c r="B491" s="3" t="s">
        <v>48</v>
      </c>
      <c r="C491" s="3" t="s">
        <v>1612</v>
      </c>
      <c r="E491" s="3" t="s">
        <v>1613</v>
      </c>
      <c r="F491" s="3" t="s">
        <v>1574</v>
      </c>
      <c r="G491" s="3" t="s">
        <v>1575</v>
      </c>
      <c r="H491" s="3" t="s">
        <v>1576</v>
      </c>
      <c r="I491" s="3" t="s">
        <v>1614</v>
      </c>
      <c r="M491" s="8" t="n">
        <v>221765</v>
      </c>
      <c r="N491" s="8" t="n">
        <v>310754</v>
      </c>
      <c r="O491" s="9" t="n">
        <v>25.2</v>
      </c>
      <c r="P491" s="9" t="n">
        <v>46</v>
      </c>
      <c r="R491" s="9" t="n">
        <v>1</v>
      </c>
      <c r="T491" s="10" t="n">
        <v>38.8</v>
      </c>
      <c r="U491" s="9" t="n">
        <v>10</v>
      </c>
      <c r="V491" s="3" t="s">
        <v>92</v>
      </c>
      <c r="W491" s="9" t="n">
        <v>0.75</v>
      </c>
      <c r="Z491" s="3" t="s">
        <v>1578</v>
      </c>
      <c r="AA491" s="3" t="s">
        <v>1579</v>
      </c>
      <c r="AB491" s="11" t="n">
        <v>46127</v>
      </c>
    </row>
    <row r="492" customFormat="false" ht="15" hidden="false" customHeight="false" outlineLevel="0" collapsed="false">
      <c r="A492" s="3" t="s">
        <v>1615</v>
      </c>
      <c r="B492" s="3" t="s">
        <v>48</v>
      </c>
      <c r="C492" s="3" t="s">
        <v>1616</v>
      </c>
      <c r="E492" s="3" t="s">
        <v>1617</v>
      </c>
      <c r="F492" s="3" t="s">
        <v>1574</v>
      </c>
      <c r="G492" s="3" t="s">
        <v>1575</v>
      </c>
      <c r="H492" s="3" t="s">
        <v>1576</v>
      </c>
      <c r="I492" s="3" t="s">
        <v>1618</v>
      </c>
      <c r="M492" s="8" t="n">
        <v>820536</v>
      </c>
      <c r="N492" s="8" t="n">
        <v>137656</v>
      </c>
      <c r="O492" s="9" t="n">
        <v>18.7</v>
      </c>
      <c r="P492" s="9" t="n">
        <v>47</v>
      </c>
      <c r="R492" s="9" t="n">
        <v>1</v>
      </c>
      <c r="T492" s="10" t="n">
        <v>16</v>
      </c>
      <c r="U492" s="9" t="n">
        <v>10</v>
      </c>
      <c r="V492" s="3" t="s">
        <v>62</v>
      </c>
      <c r="W492" s="9" t="n">
        <v>0.75</v>
      </c>
      <c r="Z492" s="3" t="s">
        <v>1578</v>
      </c>
      <c r="AA492" s="3" t="s">
        <v>1579</v>
      </c>
      <c r="AB492" s="11" t="n">
        <v>46127</v>
      </c>
    </row>
    <row r="493" customFormat="false" ht="15" hidden="false" customHeight="false" outlineLevel="0" collapsed="false">
      <c r="A493" s="3" t="s">
        <v>1619</v>
      </c>
      <c r="B493" s="3" t="s">
        <v>48</v>
      </c>
      <c r="C493" s="3" t="s">
        <v>1620</v>
      </c>
      <c r="E493" s="3" t="s">
        <v>1621</v>
      </c>
      <c r="F493" s="3" t="s">
        <v>1574</v>
      </c>
      <c r="G493" s="3" t="s">
        <v>1575</v>
      </c>
      <c r="H493" s="3" t="s">
        <v>1576</v>
      </c>
      <c r="I493" s="3" t="s">
        <v>1622</v>
      </c>
      <c r="M493" s="8" t="n">
        <v>804487</v>
      </c>
      <c r="N493" s="8" t="n">
        <v>75991</v>
      </c>
      <c r="O493" s="9" t="n">
        <v>20</v>
      </c>
      <c r="P493" s="9" t="n">
        <v>58</v>
      </c>
      <c r="R493" s="9" t="n">
        <v>1</v>
      </c>
      <c r="T493" s="10" t="n">
        <v>40.8</v>
      </c>
      <c r="U493" s="9" t="n">
        <v>6</v>
      </c>
      <c r="V493" s="3" t="s">
        <v>62</v>
      </c>
      <c r="W493" s="9" t="n">
        <v>0.75</v>
      </c>
      <c r="Z493" s="3" t="s">
        <v>1578</v>
      </c>
      <c r="AA493" s="3" t="s">
        <v>1579</v>
      </c>
      <c r="AB493" s="11" t="n">
        <v>46127</v>
      </c>
    </row>
    <row r="494" customFormat="false" ht="15" hidden="false" customHeight="false" outlineLevel="0" collapsed="false">
      <c r="A494" s="3" t="s">
        <v>1623</v>
      </c>
      <c r="B494" s="3" t="s">
        <v>48</v>
      </c>
      <c r="C494" s="3" t="s">
        <v>1624</v>
      </c>
      <c r="E494" s="3" t="s">
        <v>1625</v>
      </c>
      <c r="F494" s="3" t="s">
        <v>1574</v>
      </c>
      <c r="G494" s="3" t="s">
        <v>1575</v>
      </c>
      <c r="H494" s="3" t="s">
        <v>1576</v>
      </c>
      <c r="I494" s="3" t="s">
        <v>1626</v>
      </c>
      <c r="M494" s="8" t="n">
        <v>172714</v>
      </c>
      <c r="N494" s="8" t="n">
        <v>585742</v>
      </c>
      <c r="O494" s="9" t="n">
        <v>20.5</v>
      </c>
      <c r="P494" s="9" t="n">
        <v>62</v>
      </c>
      <c r="R494" s="9" t="n">
        <v>1</v>
      </c>
      <c r="T494" s="10" t="n">
        <v>91</v>
      </c>
      <c r="U494" s="9" t="n">
        <v>3</v>
      </c>
      <c r="V494" s="3" t="s">
        <v>83</v>
      </c>
      <c r="W494" s="9" t="n">
        <v>0.75</v>
      </c>
      <c r="Z494" s="3" t="s">
        <v>1578</v>
      </c>
      <c r="AA494" s="3" t="s">
        <v>1579</v>
      </c>
      <c r="AB494" s="11" t="n">
        <v>46127</v>
      </c>
    </row>
    <row r="495" customFormat="false" ht="15" hidden="false" customHeight="false" outlineLevel="0" collapsed="false">
      <c r="A495" s="3" t="s">
        <v>1627</v>
      </c>
      <c r="B495" s="3" t="s">
        <v>48</v>
      </c>
      <c r="C495" s="3" t="s">
        <v>1628</v>
      </c>
      <c r="E495" s="3" t="s">
        <v>1629</v>
      </c>
      <c r="F495" s="3" t="s">
        <v>1574</v>
      </c>
      <c r="G495" s="3" t="s">
        <v>1575</v>
      </c>
      <c r="H495" s="3" t="s">
        <v>1576</v>
      </c>
      <c r="I495" s="3" t="s">
        <v>1630</v>
      </c>
      <c r="M495" s="8" t="n">
        <v>121225</v>
      </c>
      <c r="N495" s="8" t="n">
        <v>182662</v>
      </c>
      <c r="O495" s="9" t="n">
        <v>13.6</v>
      </c>
      <c r="P495" s="9" t="n">
        <v>74</v>
      </c>
      <c r="R495" s="9" t="n">
        <v>1</v>
      </c>
      <c r="T495" s="10" t="n">
        <v>62.1</v>
      </c>
      <c r="U495" s="9" t="n">
        <v>1</v>
      </c>
      <c r="V495" s="3" t="s">
        <v>92</v>
      </c>
      <c r="W495" s="9" t="n">
        <v>0.75</v>
      </c>
      <c r="Z495" s="3" t="s">
        <v>1578</v>
      </c>
      <c r="AA495" s="3" t="s">
        <v>1579</v>
      </c>
      <c r="AB495" s="11" t="n">
        <v>46127</v>
      </c>
    </row>
    <row r="496" customFormat="false" ht="15" hidden="false" customHeight="false" outlineLevel="0" collapsed="false">
      <c r="A496" s="3" t="s">
        <v>1631</v>
      </c>
      <c r="B496" s="3" t="s">
        <v>48</v>
      </c>
      <c r="C496" s="3" t="s">
        <v>1632</v>
      </c>
      <c r="E496" s="3" t="s">
        <v>1633</v>
      </c>
      <c r="F496" s="3" t="s">
        <v>1574</v>
      </c>
      <c r="G496" s="3" t="s">
        <v>1575</v>
      </c>
      <c r="H496" s="3" t="s">
        <v>1576</v>
      </c>
      <c r="I496" s="3" t="s">
        <v>1634</v>
      </c>
      <c r="M496" s="8" t="n">
        <v>795598</v>
      </c>
      <c r="N496" s="8" t="n">
        <v>294341</v>
      </c>
      <c r="O496" s="9" t="n">
        <v>28.9</v>
      </c>
      <c r="P496" s="9" t="n">
        <v>46</v>
      </c>
      <c r="R496" s="9" t="n">
        <v>1</v>
      </c>
      <c r="T496" s="10" t="n">
        <v>56.6</v>
      </c>
      <c r="U496" s="9" t="n">
        <v>2</v>
      </c>
      <c r="V496" s="3" t="s">
        <v>55</v>
      </c>
      <c r="W496" s="9" t="n">
        <v>0.75</v>
      </c>
      <c r="Z496" s="3" t="s">
        <v>1578</v>
      </c>
      <c r="AA496" s="3" t="s">
        <v>1579</v>
      </c>
      <c r="AB496" s="11" t="n">
        <v>46127</v>
      </c>
    </row>
    <row r="497" customFormat="false" ht="15" hidden="false" customHeight="false" outlineLevel="0" collapsed="false">
      <c r="A497" s="3" t="s">
        <v>1635</v>
      </c>
      <c r="B497" s="3" t="s">
        <v>48</v>
      </c>
      <c r="C497" s="3" t="s">
        <v>1636</v>
      </c>
      <c r="E497" s="3" t="s">
        <v>1637</v>
      </c>
      <c r="F497" s="3" t="s">
        <v>1574</v>
      </c>
      <c r="G497" s="3" t="s">
        <v>1575</v>
      </c>
      <c r="H497" s="3" t="s">
        <v>1576</v>
      </c>
      <c r="I497" s="3" t="s">
        <v>1638</v>
      </c>
      <c r="M497" s="8" t="n">
        <v>465923</v>
      </c>
      <c r="N497" s="8" t="n">
        <v>195344</v>
      </c>
      <c r="O497" s="9" t="n">
        <v>13.8</v>
      </c>
      <c r="P497" s="9" t="n">
        <v>51</v>
      </c>
      <c r="R497" s="9" t="n">
        <v>1</v>
      </c>
      <c r="T497" s="10" t="n">
        <v>50.2</v>
      </c>
      <c r="U497" s="9" t="n">
        <v>5</v>
      </c>
      <c r="V497" s="3" t="s">
        <v>55</v>
      </c>
      <c r="W497" s="9" t="n">
        <v>0.75</v>
      </c>
      <c r="Z497" s="3" t="s">
        <v>1578</v>
      </c>
      <c r="AA497" s="3" t="s">
        <v>1579</v>
      </c>
      <c r="AB497" s="11" t="n">
        <v>46127</v>
      </c>
    </row>
    <row r="498" customFormat="false" ht="15" hidden="false" customHeight="false" outlineLevel="0" collapsed="false">
      <c r="A498" s="3" t="s">
        <v>1639</v>
      </c>
      <c r="B498" s="3" t="s">
        <v>48</v>
      </c>
      <c r="C498" s="3" t="s">
        <v>1640</v>
      </c>
      <c r="E498" s="3" t="s">
        <v>1641</v>
      </c>
      <c r="F498" s="3" t="s">
        <v>1574</v>
      </c>
      <c r="G498" s="3" t="s">
        <v>1575</v>
      </c>
      <c r="H498" s="3" t="s">
        <v>1576</v>
      </c>
      <c r="I498" s="3" t="s">
        <v>1642</v>
      </c>
      <c r="M498" s="8" t="n">
        <v>329599</v>
      </c>
      <c r="N498" s="8" t="n">
        <v>216256</v>
      </c>
      <c r="O498" s="9" t="n">
        <v>17</v>
      </c>
      <c r="P498" s="9" t="n">
        <v>65</v>
      </c>
      <c r="R498" s="9" t="n">
        <v>1</v>
      </c>
      <c r="T498" s="10" t="n">
        <v>57.9</v>
      </c>
      <c r="U498" s="9" t="n">
        <v>10</v>
      </c>
      <c r="V498" s="3" t="s">
        <v>55</v>
      </c>
      <c r="W498" s="9" t="n">
        <v>0.75</v>
      </c>
      <c r="Z498" s="3" t="s">
        <v>1578</v>
      </c>
      <c r="AA498" s="3" t="s">
        <v>1579</v>
      </c>
      <c r="AB498" s="11" t="n">
        <v>46127</v>
      </c>
    </row>
    <row r="499" customFormat="false" ht="15" hidden="false" customHeight="false" outlineLevel="0" collapsed="false">
      <c r="A499" s="3" t="s">
        <v>1643</v>
      </c>
      <c r="B499" s="3" t="s">
        <v>48</v>
      </c>
      <c r="C499" s="3" t="s">
        <v>1644</v>
      </c>
      <c r="E499" s="3" t="s">
        <v>1645</v>
      </c>
      <c r="F499" s="3" t="s">
        <v>1574</v>
      </c>
      <c r="G499" s="3" t="s">
        <v>1575</v>
      </c>
      <c r="H499" s="3" t="s">
        <v>1576</v>
      </c>
      <c r="I499" s="3" t="s">
        <v>1646</v>
      </c>
      <c r="M499" s="8" t="n">
        <v>984269</v>
      </c>
      <c r="N499" s="8" t="n">
        <v>93499</v>
      </c>
      <c r="O499" s="9" t="n">
        <v>20.5</v>
      </c>
      <c r="P499" s="9" t="n">
        <v>49</v>
      </c>
      <c r="R499" s="9" t="n">
        <v>1</v>
      </c>
      <c r="T499" s="10" t="n">
        <v>63.9</v>
      </c>
      <c r="U499" s="9" t="n">
        <v>3</v>
      </c>
      <c r="V499" s="3" t="s">
        <v>62</v>
      </c>
      <c r="W499" s="9" t="n">
        <v>0.75</v>
      </c>
      <c r="Z499" s="3" t="s">
        <v>1578</v>
      </c>
      <c r="AA499" s="3" t="s">
        <v>1579</v>
      </c>
      <c r="AB499" s="11" t="n">
        <v>46127</v>
      </c>
    </row>
    <row r="500" customFormat="false" ht="15" hidden="false" customHeight="false" outlineLevel="0" collapsed="false">
      <c r="A500" s="3" t="s">
        <v>1647</v>
      </c>
      <c r="B500" s="3" t="s">
        <v>48</v>
      </c>
      <c r="C500" s="3" t="s">
        <v>1648</v>
      </c>
      <c r="E500" s="3" t="s">
        <v>1649</v>
      </c>
      <c r="F500" s="3" t="s">
        <v>1574</v>
      </c>
      <c r="G500" s="3" t="s">
        <v>1575</v>
      </c>
      <c r="H500" s="3" t="s">
        <v>1576</v>
      </c>
      <c r="I500" s="3" t="s">
        <v>1650</v>
      </c>
      <c r="M500" s="8" t="n">
        <v>374215</v>
      </c>
      <c r="N500" s="8" t="n">
        <v>148757</v>
      </c>
      <c r="O500" s="9" t="n">
        <v>25.3</v>
      </c>
      <c r="P500" s="9" t="n">
        <v>53</v>
      </c>
      <c r="R500" s="9" t="n">
        <v>1</v>
      </c>
      <c r="T500" s="10" t="n">
        <v>62.9</v>
      </c>
      <c r="U500" s="9" t="n">
        <v>6</v>
      </c>
      <c r="V500" s="3" t="s">
        <v>62</v>
      </c>
      <c r="W500" s="9" t="n">
        <v>0.75</v>
      </c>
      <c r="Z500" s="3" t="s">
        <v>1578</v>
      </c>
      <c r="AA500" s="3" t="s">
        <v>1579</v>
      </c>
      <c r="AB500" s="11" t="n">
        <v>46127</v>
      </c>
    </row>
    <row r="501" customFormat="false" ht="15" hidden="false" customHeight="false" outlineLevel="0" collapsed="false">
      <c r="A501" s="3" t="s">
        <v>1651</v>
      </c>
      <c r="B501" s="3" t="s">
        <v>48</v>
      </c>
      <c r="C501" s="3" t="s">
        <v>1652</v>
      </c>
      <c r="E501" s="3" t="s">
        <v>1653</v>
      </c>
      <c r="F501" s="3" t="s">
        <v>1574</v>
      </c>
      <c r="G501" s="3" t="s">
        <v>1575</v>
      </c>
      <c r="H501" s="3" t="s">
        <v>1576</v>
      </c>
      <c r="I501" s="3" t="s">
        <v>1654</v>
      </c>
      <c r="M501" s="8" t="n">
        <v>634304</v>
      </c>
      <c r="N501" s="8" t="n">
        <v>300181</v>
      </c>
      <c r="O501" s="9" t="n">
        <v>13.1</v>
      </c>
      <c r="P501" s="9" t="n">
        <v>38</v>
      </c>
      <c r="R501" s="9" t="n">
        <v>1</v>
      </c>
      <c r="T501" s="10" t="n">
        <v>82</v>
      </c>
      <c r="U501" s="9" t="n">
        <v>7</v>
      </c>
      <c r="V501" s="3" t="s">
        <v>55</v>
      </c>
      <c r="W501" s="9" t="n">
        <v>0.75</v>
      </c>
      <c r="Z501" s="3" t="s">
        <v>1578</v>
      </c>
      <c r="AA501" s="3" t="s">
        <v>1579</v>
      </c>
      <c r="AB501" s="11" t="n">
        <v>46127</v>
      </c>
    </row>
    <row r="502" customFormat="false" ht="15" hidden="false" customHeight="false" outlineLevel="0" collapsed="false">
      <c r="A502" s="3" t="s">
        <v>1655</v>
      </c>
      <c r="B502" s="3" t="s">
        <v>48</v>
      </c>
      <c r="C502" s="3" t="s">
        <v>1656</v>
      </c>
      <c r="E502" s="3" t="s">
        <v>1657</v>
      </c>
      <c r="F502" s="3" t="s">
        <v>1574</v>
      </c>
      <c r="G502" s="3" t="s">
        <v>1575</v>
      </c>
      <c r="H502" s="3" t="s">
        <v>1576</v>
      </c>
      <c r="I502" s="3" t="s">
        <v>1658</v>
      </c>
      <c r="M502" s="8" t="n">
        <v>596070</v>
      </c>
      <c r="N502" s="8" t="n">
        <v>378226</v>
      </c>
      <c r="O502" s="9" t="n">
        <v>23.9</v>
      </c>
      <c r="P502" s="9" t="n">
        <v>61</v>
      </c>
      <c r="R502" s="9" t="n">
        <v>1</v>
      </c>
      <c r="T502" s="10" t="n">
        <v>45.2</v>
      </c>
      <c r="U502" s="9" t="n">
        <v>9</v>
      </c>
      <c r="V502" s="3" t="s">
        <v>62</v>
      </c>
      <c r="W502" s="9" t="n">
        <v>0.75</v>
      </c>
      <c r="Z502" s="3" t="s">
        <v>1578</v>
      </c>
      <c r="AA502" s="3" t="s">
        <v>1579</v>
      </c>
      <c r="AB502" s="11" t="n">
        <v>46127</v>
      </c>
    </row>
    <row r="503" customFormat="false" ht="15" hidden="false" customHeight="false" outlineLevel="0" collapsed="false">
      <c r="A503" s="3" t="s">
        <v>1659</v>
      </c>
      <c r="B503" s="3" t="s">
        <v>48</v>
      </c>
      <c r="C503" s="3" t="s">
        <v>1660</v>
      </c>
      <c r="E503" s="3" t="s">
        <v>1661</v>
      </c>
      <c r="F503" s="3" t="s">
        <v>1574</v>
      </c>
      <c r="G503" s="3" t="s">
        <v>1575</v>
      </c>
      <c r="H503" s="3" t="s">
        <v>1576</v>
      </c>
      <c r="I503" s="3" t="s">
        <v>1662</v>
      </c>
      <c r="M503" s="8" t="n">
        <v>241404</v>
      </c>
      <c r="N503" s="8" t="n">
        <v>252660</v>
      </c>
      <c r="O503" s="9" t="n">
        <v>3</v>
      </c>
      <c r="P503" s="9" t="n">
        <v>51</v>
      </c>
      <c r="R503" s="9" t="n">
        <v>1</v>
      </c>
      <c r="T503" s="10" t="n">
        <v>57.3</v>
      </c>
      <c r="U503" s="9" t="n">
        <v>2</v>
      </c>
      <c r="V503" s="3" t="s">
        <v>83</v>
      </c>
      <c r="W503" s="9" t="n">
        <v>0.75</v>
      </c>
      <c r="Z503" s="3" t="s">
        <v>1578</v>
      </c>
      <c r="AA503" s="3" t="s">
        <v>1579</v>
      </c>
      <c r="AB503" s="11" t="n">
        <v>46127</v>
      </c>
    </row>
    <row r="504" customFormat="false" ht="15" hidden="false" customHeight="false" outlineLevel="0" collapsed="false">
      <c r="A504" s="3" t="s">
        <v>1663</v>
      </c>
      <c r="B504" s="3" t="s">
        <v>48</v>
      </c>
      <c r="C504" s="3" t="s">
        <v>1664</v>
      </c>
      <c r="E504" s="3" t="s">
        <v>1665</v>
      </c>
      <c r="F504" s="3" t="s">
        <v>1574</v>
      </c>
      <c r="G504" s="3" t="s">
        <v>1575</v>
      </c>
      <c r="H504" s="3" t="s">
        <v>1576</v>
      </c>
      <c r="I504" s="3" t="s">
        <v>1666</v>
      </c>
      <c r="M504" s="8" t="n">
        <v>1316285</v>
      </c>
      <c r="N504" s="8" t="n">
        <v>43842</v>
      </c>
      <c r="O504" s="9" t="n">
        <v>7.1</v>
      </c>
      <c r="P504" s="9" t="n">
        <v>77</v>
      </c>
      <c r="R504" s="9" t="n">
        <v>1</v>
      </c>
      <c r="T504" s="10" t="n">
        <v>38</v>
      </c>
      <c r="U504" s="9" t="n">
        <v>5</v>
      </c>
      <c r="V504" s="3" t="s">
        <v>62</v>
      </c>
      <c r="W504" s="9" t="n">
        <v>0.75</v>
      </c>
      <c r="Z504" s="3" t="s">
        <v>1578</v>
      </c>
      <c r="AA504" s="3" t="s">
        <v>1579</v>
      </c>
      <c r="AB504" s="11" t="n">
        <v>46127</v>
      </c>
    </row>
    <row r="505" customFormat="false" ht="15" hidden="false" customHeight="false" outlineLevel="0" collapsed="false">
      <c r="A505" s="3" t="s">
        <v>1667</v>
      </c>
      <c r="B505" s="3" t="s">
        <v>48</v>
      </c>
      <c r="C505" s="3" t="s">
        <v>1668</v>
      </c>
      <c r="E505" s="3" t="s">
        <v>1669</v>
      </c>
      <c r="F505" s="3" t="s">
        <v>1574</v>
      </c>
      <c r="G505" s="3" t="s">
        <v>1575</v>
      </c>
      <c r="H505" s="3" t="s">
        <v>1576</v>
      </c>
      <c r="I505" s="3" t="s">
        <v>1670</v>
      </c>
      <c r="M505" s="8" t="n">
        <v>354847</v>
      </c>
      <c r="N505" s="8" t="n">
        <v>286868</v>
      </c>
      <c r="O505" s="9" t="n">
        <v>18.5</v>
      </c>
      <c r="P505" s="9" t="n">
        <v>45</v>
      </c>
      <c r="R505" s="9" t="n">
        <v>1</v>
      </c>
      <c r="T505" s="10" t="n">
        <v>44.1</v>
      </c>
      <c r="U505" s="9" t="n">
        <v>4</v>
      </c>
      <c r="V505" s="3" t="s">
        <v>83</v>
      </c>
      <c r="W505" s="9" t="n">
        <v>0.75</v>
      </c>
      <c r="Z505" s="3" t="s">
        <v>1578</v>
      </c>
      <c r="AA505" s="3" t="s">
        <v>1579</v>
      </c>
      <c r="AB505" s="11" t="n">
        <v>46127</v>
      </c>
    </row>
    <row r="506" customFormat="false" ht="15" hidden="false" customHeight="false" outlineLevel="0" collapsed="false">
      <c r="A506" s="3" t="s">
        <v>1671</v>
      </c>
      <c r="B506" s="3" t="s">
        <v>48</v>
      </c>
      <c r="C506" s="3" t="s">
        <v>1672</v>
      </c>
      <c r="E506" s="3" t="s">
        <v>1673</v>
      </c>
      <c r="F506" s="3" t="s">
        <v>1574</v>
      </c>
      <c r="G506" s="3" t="s">
        <v>1575</v>
      </c>
      <c r="H506" s="3" t="s">
        <v>1576</v>
      </c>
      <c r="I506" s="3" t="s">
        <v>1674</v>
      </c>
      <c r="M506" s="8" t="n">
        <v>649568</v>
      </c>
      <c r="N506" s="8" t="n">
        <v>358853</v>
      </c>
      <c r="O506" s="9" t="n">
        <v>21.6</v>
      </c>
      <c r="P506" s="9" t="n">
        <v>45</v>
      </c>
      <c r="R506" s="9" t="n">
        <v>2</v>
      </c>
      <c r="T506" s="10" t="n">
        <v>51.7</v>
      </c>
      <c r="U506" s="9" t="n">
        <v>5</v>
      </c>
      <c r="V506" s="3" t="s">
        <v>83</v>
      </c>
      <c r="W506" s="9" t="n">
        <v>0.75</v>
      </c>
      <c r="Z506" s="3" t="s">
        <v>1578</v>
      </c>
      <c r="AA506" s="3" t="s">
        <v>1579</v>
      </c>
      <c r="AB506" s="11" t="n">
        <v>46127</v>
      </c>
    </row>
    <row r="507" customFormat="false" ht="15" hidden="false" customHeight="false" outlineLevel="0" collapsed="false">
      <c r="A507" s="3" t="s">
        <v>1675</v>
      </c>
      <c r="B507" s="3" t="s">
        <v>48</v>
      </c>
      <c r="C507" s="3" t="s">
        <v>1676</v>
      </c>
      <c r="E507" s="3" t="s">
        <v>1677</v>
      </c>
      <c r="F507" s="3" t="s">
        <v>1574</v>
      </c>
      <c r="G507" s="3" t="s">
        <v>1575</v>
      </c>
      <c r="H507" s="3" t="s">
        <v>1576</v>
      </c>
      <c r="I507" s="3" t="s">
        <v>1678</v>
      </c>
      <c r="M507" s="8" t="n">
        <v>617286</v>
      </c>
      <c r="N507" s="8" t="n">
        <v>222451</v>
      </c>
      <c r="O507" s="9" t="n">
        <v>15.3</v>
      </c>
      <c r="P507" s="9" t="n">
        <v>76</v>
      </c>
      <c r="R507" s="9" t="n">
        <v>1</v>
      </c>
      <c r="T507" s="10" t="n">
        <v>78.2</v>
      </c>
      <c r="U507" s="9" t="n">
        <v>2</v>
      </c>
      <c r="V507" s="3" t="s">
        <v>55</v>
      </c>
      <c r="W507" s="9" t="n">
        <v>0.75</v>
      </c>
      <c r="Z507" s="3" t="s">
        <v>1578</v>
      </c>
      <c r="AA507" s="3" t="s">
        <v>1579</v>
      </c>
      <c r="AB507" s="11" t="n">
        <v>46127</v>
      </c>
    </row>
    <row r="508" customFormat="false" ht="15" hidden="false" customHeight="false" outlineLevel="0" collapsed="false">
      <c r="A508" s="3" t="s">
        <v>1679</v>
      </c>
      <c r="B508" s="3" t="s">
        <v>48</v>
      </c>
      <c r="C508" s="3" t="s">
        <v>1680</v>
      </c>
      <c r="E508" s="3" t="s">
        <v>1681</v>
      </c>
      <c r="F508" s="3" t="s">
        <v>1574</v>
      </c>
      <c r="G508" s="3" t="s">
        <v>1575</v>
      </c>
      <c r="H508" s="3" t="s">
        <v>1576</v>
      </c>
      <c r="I508" s="3" t="s">
        <v>1682</v>
      </c>
      <c r="M508" s="8" t="n">
        <v>649030</v>
      </c>
      <c r="N508" s="8" t="n">
        <v>277056</v>
      </c>
      <c r="O508" s="9" t="n">
        <v>13.9</v>
      </c>
      <c r="P508" s="9" t="n">
        <v>45</v>
      </c>
      <c r="R508" s="9" t="n">
        <v>1</v>
      </c>
      <c r="T508" s="10" t="n">
        <v>47.6</v>
      </c>
      <c r="U508" s="9" t="n">
        <v>8</v>
      </c>
      <c r="V508" s="3" t="s">
        <v>55</v>
      </c>
      <c r="W508" s="9" t="n">
        <v>0.75</v>
      </c>
      <c r="Z508" s="3" t="s">
        <v>1578</v>
      </c>
      <c r="AA508" s="3" t="s">
        <v>1579</v>
      </c>
      <c r="AB508" s="11" t="n">
        <v>46127</v>
      </c>
    </row>
    <row r="509" customFormat="false" ht="15" hidden="false" customHeight="false" outlineLevel="0" collapsed="false">
      <c r="A509" s="3" t="s">
        <v>1683</v>
      </c>
      <c r="B509" s="3" t="s">
        <v>48</v>
      </c>
      <c r="C509" s="3" t="s">
        <v>1684</v>
      </c>
      <c r="E509" s="3" t="s">
        <v>1685</v>
      </c>
      <c r="F509" s="3" t="s">
        <v>1574</v>
      </c>
      <c r="G509" s="3" t="s">
        <v>1575</v>
      </c>
      <c r="H509" s="3" t="s">
        <v>1576</v>
      </c>
      <c r="I509" s="3" t="s">
        <v>1686</v>
      </c>
      <c r="M509" s="8" t="n">
        <v>332822</v>
      </c>
      <c r="N509" s="8" t="n">
        <v>173786</v>
      </c>
      <c r="O509" s="9" t="n">
        <v>10.8</v>
      </c>
      <c r="P509" s="9" t="n">
        <v>70</v>
      </c>
      <c r="R509" s="9" t="n">
        <v>1</v>
      </c>
      <c r="T509" s="10" t="n">
        <v>27</v>
      </c>
      <c r="U509" s="9" t="n">
        <v>3</v>
      </c>
      <c r="V509" s="3" t="s">
        <v>62</v>
      </c>
      <c r="W509" s="9" t="n">
        <v>0.75</v>
      </c>
      <c r="Z509" s="3" t="s">
        <v>1578</v>
      </c>
      <c r="AA509" s="3" t="s">
        <v>1579</v>
      </c>
      <c r="AB509" s="11" t="n">
        <v>46127</v>
      </c>
    </row>
    <row r="510" customFormat="false" ht="15" hidden="false" customHeight="false" outlineLevel="0" collapsed="false">
      <c r="A510" s="3" t="s">
        <v>1687</v>
      </c>
      <c r="B510" s="3" t="s">
        <v>48</v>
      </c>
      <c r="C510" s="3" t="s">
        <v>1688</v>
      </c>
      <c r="E510" s="3" t="s">
        <v>1689</v>
      </c>
      <c r="F510" s="3" t="s">
        <v>1574</v>
      </c>
      <c r="G510" s="3" t="s">
        <v>1575</v>
      </c>
      <c r="H510" s="3" t="s">
        <v>1576</v>
      </c>
      <c r="I510" s="3" t="s">
        <v>1690</v>
      </c>
      <c r="M510" s="8" t="n">
        <v>706655</v>
      </c>
      <c r="N510" s="8" t="n">
        <v>331040</v>
      </c>
      <c r="O510" s="9" t="n">
        <v>22.1</v>
      </c>
      <c r="P510" s="9" t="n">
        <v>60</v>
      </c>
      <c r="R510" s="9" t="n">
        <v>1</v>
      </c>
      <c r="T510" s="10" t="n">
        <v>81.3</v>
      </c>
      <c r="U510" s="9" t="n">
        <v>4</v>
      </c>
      <c r="V510" s="3" t="s">
        <v>55</v>
      </c>
      <c r="W510" s="9" t="n">
        <v>0.75</v>
      </c>
      <c r="Z510" s="3" t="s">
        <v>1578</v>
      </c>
      <c r="AA510" s="3" t="s">
        <v>1579</v>
      </c>
      <c r="AB510" s="11" t="n">
        <v>46127</v>
      </c>
    </row>
    <row r="511" customFormat="false" ht="15" hidden="false" customHeight="false" outlineLevel="0" collapsed="false">
      <c r="A511" s="3" t="s">
        <v>1691</v>
      </c>
      <c r="B511" s="3" t="s">
        <v>48</v>
      </c>
      <c r="C511" s="3" t="s">
        <v>1692</v>
      </c>
      <c r="E511" s="3" t="s">
        <v>1693</v>
      </c>
      <c r="F511" s="3" t="s">
        <v>1574</v>
      </c>
      <c r="G511" s="3" t="s">
        <v>1575</v>
      </c>
      <c r="H511" s="3" t="s">
        <v>1576</v>
      </c>
      <c r="I511" s="3" t="s">
        <v>735</v>
      </c>
      <c r="M511" s="8" t="n">
        <v>261526</v>
      </c>
      <c r="N511" s="8" t="n">
        <v>303278</v>
      </c>
      <c r="O511" s="9" t="n">
        <v>21.6</v>
      </c>
      <c r="P511" s="9" t="n">
        <v>42</v>
      </c>
      <c r="R511" s="9" t="n">
        <v>1</v>
      </c>
      <c r="T511" s="10" t="n">
        <v>25.6</v>
      </c>
      <c r="U511" s="9" t="n">
        <v>10</v>
      </c>
      <c r="V511" s="3" t="s">
        <v>83</v>
      </c>
      <c r="W511" s="9" t="n">
        <v>0.75</v>
      </c>
      <c r="Z511" s="3" t="s">
        <v>1578</v>
      </c>
      <c r="AA511" s="3" t="s">
        <v>1579</v>
      </c>
      <c r="AB511" s="11" t="n">
        <v>46127</v>
      </c>
    </row>
    <row r="512" customFormat="false" ht="15" hidden="false" customHeight="false" outlineLevel="0" collapsed="false">
      <c r="A512" s="3" t="s">
        <v>1694</v>
      </c>
      <c r="B512" s="3" t="s">
        <v>48</v>
      </c>
      <c r="C512" s="3" t="s">
        <v>1695</v>
      </c>
      <c r="E512" s="3" t="s">
        <v>1696</v>
      </c>
      <c r="F512" s="3" t="s">
        <v>1574</v>
      </c>
      <c r="G512" s="3" t="s">
        <v>1575</v>
      </c>
      <c r="H512" s="3" t="s">
        <v>1576</v>
      </c>
      <c r="I512" s="3" t="s">
        <v>1697</v>
      </c>
      <c r="M512" s="8" t="n">
        <v>618920</v>
      </c>
      <c r="N512" s="8" t="n">
        <v>207738</v>
      </c>
      <c r="O512" s="9" t="n">
        <v>24.1</v>
      </c>
      <c r="P512" s="9" t="n">
        <v>70</v>
      </c>
      <c r="R512" s="9" t="n">
        <v>1</v>
      </c>
      <c r="T512" s="10" t="n">
        <v>39.4</v>
      </c>
      <c r="U512" s="9" t="n">
        <v>8</v>
      </c>
      <c r="V512" s="3" t="s">
        <v>55</v>
      </c>
      <c r="W512" s="9" t="n">
        <v>0.75</v>
      </c>
      <c r="Z512" s="3" t="s">
        <v>1578</v>
      </c>
      <c r="AA512" s="3" t="s">
        <v>1579</v>
      </c>
      <c r="AB512" s="11" t="n">
        <v>46127</v>
      </c>
    </row>
    <row r="513" customFormat="false" ht="15" hidden="false" customHeight="false" outlineLevel="0" collapsed="false">
      <c r="A513" s="3" t="s">
        <v>1698</v>
      </c>
      <c r="B513" s="3" t="s">
        <v>48</v>
      </c>
      <c r="C513" s="3" t="s">
        <v>1699</v>
      </c>
      <c r="E513" s="3" t="s">
        <v>1700</v>
      </c>
      <c r="F513" s="3" t="s">
        <v>1574</v>
      </c>
      <c r="G513" s="3" t="s">
        <v>1575</v>
      </c>
      <c r="H513" s="3" t="s">
        <v>1576</v>
      </c>
      <c r="I513" s="3" t="s">
        <v>1701</v>
      </c>
      <c r="M513" s="8" t="n">
        <v>473215</v>
      </c>
      <c r="N513" s="8" t="n">
        <v>120726</v>
      </c>
      <c r="O513" s="9" t="n">
        <v>24.9</v>
      </c>
      <c r="P513" s="9" t="n">
        <v>75</v>
      </c>
      <c r="R513" s="9" t="n">
        <v>1</v>
      </c>
      <c r="T513" s="10" t="n">
        <v>91.6</v>
      </c>
      <c r="U513" s="9" t="n">
        <v>4</v>
      </c>
      <c r="V513" s="3" t="s">
        <v>92</v>
      </c>
      <c r="W513" s="9" t="n">
        <v>0.75</v>
      </c>
      <c r="Z513" s="3" t="s">
        <v>1578</v>
      </c>
      <c r="AA513" s="3" t="s">
        <v>1579</v>
      </c>
      <c r="AB513" s="11" t="n">
        <v>46127</v>
      </c>
    </row>
    <row r="514" customFormat="false" ht="15" hidden="false" customHeight="false" outlineLevel="0" collapsed="false">
      <c r="A514" s="3" t="s">
        <v>1702</v>
      </c>
      <c r="B514" s="3" t="s">
        <v>48</v>
      </c>
      <c r="C514" s="3" t="s">
        <v>1703</v>
      </c>
      <c r="E514" s="3" t="s">
        <v>1704</v>
      </c>
      <c r="F514" s="3" t="s">
        <v>1574</v>
      </c>
      <c r="G514" s="3" t="s">
        <v>1575</v>
      </c>
      <c r="H514" s="3" t="s">
        <v>1576</v>
      </c>
      <c r="I514" s="3" t="s">
        <v>1705</v>
      </c>
      <c r="M514" s="8" t="n">
        <v>150544</v>
      </c>
      <c r="N514" s="8" t="n">
        <v>324614</v>
      </c>
      <c r="O514" s="9" t="n">
        <v>18.6</v>
      </c>
      <c r="P514" s="9" t="n">
        <v>45</v>
      </c>
      <c r="R514" s="9" t="n">
        <v>1</v>
      </c>
      <c r="T514" s="10" t="n">
        <v>62.5</v>
      </c>
      <c r="U514" s="9" t="n">
        <v>10</v>
      </c>
      <c r="V514" s="3" t="s">
        <v>62</v>
      </c>
      <c r="W514" s="9" t="n">
        <v>0.75</v>
      </c>
      <c r="Z514" s="3" t="s">
        <v>1578</v>
      </c>
      <c r="AA514" s="3" t="s">
        <v>1579</v>
      </c>
      <c r="AB514" s="11" t="n">
        <v>46127</v>
      </c>
    </row>
    <row r="515" customFormat="false" ht="15" hidden="false" customHeight="false" outlineLevel="0" collapsed="false">
      <c r="A515" s="3" t="s">
        <v>1706</v>
      </c>
      <c r="B515" s="3" t="s">
        <v>48</v>
      </c>
      <c r="C515" s="3" t="s">
        <v>1707</v>
      </c>
      <c r="E515" s="3" t="s">
        <v>1708</v>
      </c>
      <c r="F515" s="3" t="s">
        <v>1574</v>
      </c>
      <c r="G515" s="3" t="s">
        <v>1575</v>
      </c>
      <c r="H515" s="3" t="s">
        <v>1576</v>
      </c>
      <c r="I515" s="3" t="s">
        <v>1709</v>
      </c>
      <c r="M515" s="8" t="n">
        <v>424523</v>
      </c>
      <c r="N515" s="8" t="n">
        <v>219392</v>
      </c>
      <c r="O515" s="9" t="n">
        <v>23.3</v>
      </c>
      <c r="P515" s="9" t="n">
        <v>68</v>
      </c>
      <c r="R515" s="9" t="n">
        <v>1</v>
      </c>
      <c r="T515" s="10" t="n">
        <v>59.2</v>
      </c>
      <c r="U515" s="9" t="n">
        <v>8</v>
      </c>
      <c r="V515" s="3" t="s">
        <v>55</v>
      </c>
      <c r="W515" s="9" t="n">
        <v>0.75</v>
      </c>
      <c r="Z515" s="3" t="s">
        <v>1578</v>
      </c>
      <c r="AA515" s="3" t="s">
        <v>1579</v>
      </c>
      <c r="AB515" s="11" t="n">
        <v>46127</v>
      </c>
    </row>
    <row r="516" customFormat="false" ht="15" hidden="false" customHeight="false" outlineLevel="0" collapsed="false">
      <c r="A516" s="3" t="s">
        <v>1710</v>
      </c>
      <c r="B516" s="3" t="s">
        <v>48</v>
      </c>
      <c r="C516" s="3" t="s">
        <v>1711</v>
      </c>
      <c r="E516" s="3" t="s">
        <v>1712</v>
      </c>
      <c r="F516" s="3" t="s">
        <v>1574</v>
      </c>
      <c r="G516" s="3" t="s">
        <v>1575</v>
      </c>
      <c r="H516" s="3" t="s">
        <v>1576</v>
      </c>
      <c r="I516" s="3" t="s">
        <v>1713</v>
      </c>
      <c r="M516" s="8" t="n">
        <v>169101</v>
      </c>
      <c r="N516" s="8" t="n">
        <v>343619</v>
      </c>
      <c r="O516" s="9" t="n">
        <v>3.7</v>
      </c>
      <c r="P516" s="9" t="n">
        <v>73</v>
      </c>
      <c r="R516" s="9" t="n">
        <v>1</v>
      </c>
      <c r="T516" s="10" t="n">
        <v>76.9</v>
      </c>
      <c r="U516" s="9" t="n">
        <v>9</v>
      </c>
      <c r="V516" s="3" t="s">
        <v>92</v>
      </c>
      <c r="W516" s="9" t="n">
        <v>0.75</v>
      </c>
      <c r="Z516" s="3" t="s">
        <v>1578</v>
      </c>
      <c r="AA516" s="3" t="s">
        <v>1579</v>
      </c>
      <c r="AB516" s="11" t="n">
        <v>46127</v>
      </c>
    </row>
    <row r="517" customFormat="false" ht="15" hidden="false" customHeight="false" outlineLevel="0" collapsed="false">
      <c r="A517" s="3" t="s">
        <v>1714</v>
      </c>
      <c r="B517" s="3" t="s">
        <v>48</v>
      </c>
      <c r="C517" s="3" t="s">
        <v>1715</v>
      </c>
      <c r="E517" s="3" t="s">
        <v>1716</v>
      </c>
      <c r="F517" s="3" t="s">
        <v>1574</v>
      </c>
      <c r="G517" s="3" t="s">
        <v>1575</v>
      </c>
      <c r="H517" s="3" t="s">
        <v>1576</v>
      </c>
      <c r="I517" s="3" t="s">
        <v>1717</v>
      </c>
      <c r="M517" s="8" t="n">
        <v>434792</v>
      </c>
      <c r="N517" s="8" t="n">
        <v>65894</v>
      </c>
      <c r="O517" s="9" t="n">
        <v>21.3</v>
      </c>
      <c r="P517" s="9" t="n">
        <v>55</v>
      </c>
      <c r="R517" s="9" t="n">
        <v>1</v>
      </c>
      <c r="T517" s="10" t="n">
        <v>81.6</v>
      </c>
      <c r="U517" s="9" t="n">
        <v>3</v>
      </c>
      <c r="V517" s="3" t="s">
        <v>62</v>
      </c>
      <c r="W517" s="9" t="n">
        <v>0.75</v>
      </c>
      <c r="Z517" s="3" t="s">
        <v>1578</v>
      </c>
      <c r="AA517" s="3" t="s">
        <v>1579</v>
      </c>
      <c r="AB517" s="11" t="n">
        <v>46127</v>
      </c>
    </row>
    <row r="518" customFormat="false" ht="15" hidden="false" customHeight="false" outlineLevel="0" collapsed="false">
      <c r="A518" s="3" t="s">
        <v>1718</v>
      </c>
      <c r="B518" s="3" t="s">
        <v>48</v>
      </c>
      <c r="C518" s="3" t="s">
        <v>1719</v>
      </c>
      <c r="E518" s="3" t="s">
        <v>1720</v>
      </c>
      <c r="F518" s="3" t="s">
        <v>1574</v>
      </c>
      <c r="G518" s="3" t="s">
        <v>1575</v>
      </c>
      <c r="H518" s="3" t="s">
        <v>1576</v>
      </c>
      <c r="I518" s="3" t="s">
        <v>1721</v>
      </c>
      <c r="M518" s="8" t="n">
        <v>357519</v>
      </c>
      <c r="N518" s="8" t="n">
        <v>178391</v>
      </c>
      <c r="O518" s="9" t="n">
        <v>4.9</v>
      </c>
      <c r="P518" s="9" t="n">
        <v>59</v>
      </c>
      <c r="R518" s="9" t="n">
        <v>1</v>
      </c>
      <c r="T518" s="10" t="n">
        <v>57.7</v>
      </c>
      <c r="U518" s="9" t="n">
        <v>9</v>
      </c>
      <c r="V518" s="3" t="s">
        <v>92</v>
      </c>
      <c r="W518" s="9" t="n">
        <v>0.75</v>
      </c>
      <c r="Z518" s="3" t="s">
        <v>1578</v>
      </c>
      <c r="AA518" s="3" t="s">
        <v>1579</v>
      </c>
      <c r="AB518" s="11" t="n">
        <v>46127</v>
      </c>
    </row>
    <row r="519" customFormat="false" ht="15" hidden="false" customHeight="false" outlineLevel="0" collapsed="false">
      <c r="A519" s="3" t="s">
        <v>1722</v>
      </c>
      <c r="B519" s="3" t="s">
        <v>48</v>
      </c>
      <c r="C519" s="3" t="s">
        <v>1723</v>
      </c>
      <c r="E519" s="3" t="s">
        <v>1724</v>
      </c>
      <c r="F519" s="3" t="s">
        <v>1574</v>
      </c>
      <c r="G519" s="3" t="s">
        <v>1575</v>
      </c>
      <c r="H519" s="3" t="s">
        <v>1576</v>
      </c>
      <c r="I519" s="3" t="s">
        <v>1725</v>
      </c>
      <c r="M519" s="8" t="n">
        <v>483802</v>
      </c>
      <c r="N519" s="8" t="n">
        <v>220423</v>
      </c>
      <c r="O519" s="9" t="n">
        <v>1.4</v>
      </c>
      <c r="P519" s="9" t="n">
        <v>47</v>
      </c>
      <c r="R519" s="9" t="n">
        <v>1</v>
      </c>
      <c r="T519" s="10" t="n">
        <v>35</v>
      </c>
      <c r="U519" s="9" t="n">
        <v>1</v>
      </c>
      <c r="V519" s="3" t="s">
        <v>83</v>
      </c>
      <c r="W519" s="9" t="n">
        <v>0.75</v>
      </c>
      <c r="Z519" s="3" t="s">
        <v>1578</v>
      </c>
      <c r="AA519" s="3" t="s">
        <v>1579</v>
      </c>
      <c r="AB519" s="11" t="n">
        <v>46127</v>
      </c>
    </row>
    <row r="520" customFormat="false" ht="15" hidden="false" customHeight="false" outlineLevel="0" collapsed="false">
      <c r="A520" s="3" t="s">
        <v>1726</v>
      </c>
      <c r="B520" s="3" t="s">
        <v>48</v>
      </c>
      <c r="C520" s="3" t="s">
        <v>1727</v>
      </c>
      <c r="E520" s="3" t="s">
        <v>1728</v>
      </c>
      <c r="F520" s="3" t="s">
        <v>1574</v>
      </c>
      <c r="G520" s="3" t="s">
        <v>1575</v>
      </c>
      <c r="H520" s="3" t="s">
        <v>1576</v>
      </c>
      <c r="I520" s="3" t="s">
        <v>1729</v>
      </c>
      <c r="M520" s="8" t="n">
        <v>406041</v>
      </c>
      <c r="N520" s="8" t="n">
        <v>372870</v>
      </c>
      <c r="O520" s="9" t="n">
        <v>29.9</v>
      </c>
      <c r="P520" s="9" t="n">
        <v>36</v>
      </c>
      <c r="R520" s="9" t="n">
        <v>1</v>
      </c>
      <c r="T520" s="10" t="n">
        <v>62.1</v>
      </c>
      <c r="U520" s="9" t="n">
        <v>10</v>
      </c>
      <c r="V520" s="3" t="s">
        <v>92</v>
      </c>
      <c r="W520" s="9" t="n">
        <v>0.75</v>
      </c>
      <c r="Z520" s="3" t="s">
        <v>1578</v>
      </c>
      <c r="AA520" s="3" t="s">
        <v>1579</v>
      </c>
      <c r="AB520" s="11" t="n">
        <v>46127</v>
      </c>
    </row>
    <row r="521" customFormat="false" ht="15" hidden="false" customHeight="false" outlineLevel="0" collapsed="false">
      <c r="A521" s="3" t="s">
        <v>1730</v>
      </c>
      <c r="B521" s="3" t="s">
        <v>48</v>
      </c>
      <c r="C521" s="3" t="s">
        <v>1731</v>
      </c>
      <c r="E521" s="3" t="s">
        <v>1732</v>
      </c>
      <c r="F521" s="3" t="s">
        <v>1574</v>
      </c>
      <c r="G521" s="3" t="s">
        <v>1575</v>
      </c>
      <c r="H521" s="3" t="s">
        <v>1576</v>
      </c>
      <c r="I521" s="3" t="s">
        <v>1733</v>
      </c>
      <c r="M521" s="8" t="n">
        <v>140631</v>
      </c>
      <c r="N521" s="8" t="n">
        <v>128219</v>
      </c>
      <c r="O521" s="9" t="n">
        <v>27.2</v>
      </c>
      <c r="P521" s="9" t="n">
        <v>58</v>
      </c>
      <c r="R521" s="9" t="n">
        <v>1</v>
      </c>
      <c r="T521" s="10" t="n">
        <v>88.3</v>
      </c>
      <c r="U521" s="9" t="n">
        <v>9</v>
      </c>
      <c r="V521" s="3" t="s">
        <v>92</v>
      </c>
      <c r="W521" s="9" t="n">
        <v>0.75</v>
      </c>
      <c r="Z521" s="3" t="s">
        <v>1578</v>
      </c>
      <c r="AA521" s="3" t="s">
        <v>1579</v>
      </c>
      <c r="AB521" s="11" t="n">
        <v>46127</v>
      </c>
    </row>
    <row r="522" customFormat="false" ht="15" hidden="false" customHeight="false" outlineLevel="0" collapsed="false">
      <c r="A522" s="3" t="s">
        <v>1734</v>
      </c>
      <c r="B522" s="3" t="s">
        <v>48</v>
      </c>
      <c r="C522" s="3" t="s">
        <v>1735</v>
      </c>
      <c r="E522" s="3" t="s">
        <v>1736</v>
      </c>
      <c r="F522" s="3" t="s">
        <v>1574</v>
      </c>
      <c r="G522" s="3" t="s">
        <v>1575</v>
      </c>
      <c r="H522" s="3" t="s">
        <v>1576</v>
      </c>
      <c r="I522" s="3" t="s">
        <v>1737</v>
      </c>
      <c r="M522" s="8" t="n">
        <v>771588</v>
      </c>
      <c r="N522" s="8" t="n">
        <v>98466</v>
      </c>
      <c r="O522" s="9" t="n">
        <v>21.9</v>
      </c>
      <c r="P522" s="9" t="n">
        <v>64</v>
      </c>
      <c r="R522" s="9" t="n">
        <v>1</v>
      </c>
      <c r="T522" s="10" t="n">
        <v>54</v>
      </c>
      <c r="U522" s="9" t="n">
        <v>4</v>
      </c>
      <c r="V522" s="3" t="s">
        <v>62</v>
      </c>
      <c r="W522" s="9" t="n">
        <v>0.75</v>
      </c>
      <c r="Z522" s="3" t="s">
        <v>1578</v>
      </c>
      <c r="AA522" s="3" t="s">
        <v>1579</v>
      </c>
      <c r="AB522" s="11" t="n">
        <v>46127</v>
      </c>
    </row>
    <row r="523" customFormat="false" ht="15" hidden="false" customHeight="false" outlineLevel="0" collapsed="false">
      <c r="A523" s="3" t="s">
        <v>1738</v>
      </c>
      <c r="B523" s="3" t="s">
        <v>48</v>
      </c>
      <c r="C523" s="3" t="s">
        <v>1739</v>
      </c>
      <c r="E523" s="3" t="s">
        <v>1740</v>
      </c>
      <c r="F523" s="3" t="s">
        <v>1574</v>
      </c>
      <c r="G523" s="3" t="s">
        <v>1575</v>
      </c>
      <c r="H523" s="3" t="s">
        <v>1576</v>
      </c>
      <c r="I523" s="3" t="s">
        <v>1741</v>
      </c>
      <c r="M523" s="8" t="n">
        <v>166518</v>
      </c>
      <c r="N523" s="8" t="n">
        <v>196268</v>
      </c>
      <c r="O523" s="9" t="n">
        <v>11.5</v>
      </c>
      <c r="P523" s="9" t="n">
        <v>54</v>
      </c>
      <c r="R523" s="9" t="n">
        <v>1</v>
      </c>
      <c r="T523" s="10" t="n">
        <v>51.7</v>
      </c>
      <c r="U523" s="9" t="n">
        <v>3</v>
      </c>
      <c r="V523" s="3" t="s">
        <v>55</v>
      </c>
      <c r="W523" s="9" t="n">
        <v>0.75</v>
      </c>
      <c r="Z523" s="3" t="s">
        <v>1578</v>
      </c>
      <c r="AA523" s="3" t="s">
        <v>1579</v>
      </c>
      <c r="AB523" s="11" t="n">
        <v>46127</v>
      </c>
    </row>
    <row r="524" customFormat="false" ht="15" hidden="false" customHeight="false" outlineLevel="0" collapsed="false">
      <c r="A524" s="3" t="s">
        <v>1742</v>
      </c>
      <c r="B524" s="3" t="s">
        <v>48</v>
      </c>
      <c r="C524" s="3" t="s">
        <v>1743</v>
      </c>
      <c r="E524" s="3" t="s">
        <v>1744</v>
      </c>
      <c r="F524" s="3" t="s">
        <v>1574</v>
      </c>
      <c r="G524" s="3" t="s">
        <v>1575</v>
      </c>
      <c r="H524" s="3" t="s">
        <v>1576</v>
      </c>
      <c r="I524" s="3" t="s">
        <v>1745</v>
      </c>
      <c r="M524" s="8" t="n">
        <v>432500</v>
      </c>
      <c r="N524" s="8" t="n">
        <v>35863</v>
      </c>
      <c r="O524" s="9" t="n">
        <v>27.5</v>
      </c>
      <c r="P524" s="9" t="n">
        <v>46</v>
      </c>
      <c r="R524" s="9" t="n">
        <v>1</v>
      </c>
      <c r="T524" s="10" t="n">
        <v>36.2</v>
      </c>
      <c r="U524" s="9" t="n">
        <v>3</v>
      </c>
      <c r="V524" s="3" t="s">
        <v>92</v>
      </c>
      <c r="W524" s="9" t="n">
        <v>0.75</v>
      </c>
      <c r="Z524" s="3" t="s">
        <v>1578</v>
      </c>
      <c r="AA524" s="3" t="s">
        <v>1579</v>
      </c>
      <c r="AB524" s="11" t="n">
        <v>46127</v>
      </c>
    </row>
    <row r="525" customFormat="false" ht="15" hidden="false" customHeight="false" outlineLevel="0" collapsed="false">
      <c r="A525" s="3" t="s">
        <v>1746</v>
      </c>
      <c r="B525" s="3" t="s">
        <v>48</v>
      </c>
      <c r="C525" s="3" t="s">
        <v>1747</v>
      </c>
      <c r="E525" s="3" t="s">
        <v>1748</v>
      </c>
      <c r="F525" s="3" t="s">
        <v>1574</v>
      </c>
      <c r="G525" s="3" t="s">
        <v>1575</v>
      </c>
      <c r="H525" s="3" t="s">
        <v>1576</v>
      </c>
      <c r="I525" s="3" t="s">
        <v>1749</v>
      </c>
      <c r="M525" s="8" t="n">
        <v>424083</v>
      </c>
      <c r="N525" s="8" t="n">
        <v>199466</v>
      </c>
      <c r="O525" s="9" t="n">
        <v>3.7</v>
      </c>
      <c r="P525" s="9" t="n">
        <v>39</v>
      </c>
      <c r="R525" s="9" t="n">
        <v>1</v>
      </c>
      <c r="T525" s="10" t="n">
        <v>79.2</v>
      </c>
      <c r="U525" s="9" t="n">
        <v>8</v>
      </c>
      <c r="V525" s="3" t="s">
        <v>62</v>
      </c>
      <c r="W525" s="9" t="n">
        <v>0.75</v>
      </c>
      <c r="Z525" s="3" t="s">
        <v>1578</v>
      </c>
      <c r="AA525" s="3" t="s">
        <v>1579</v>
      </c>
      <c r="AB525" s="11" t="n">
        <v>46127</v>
      </c>
    </row>
    <row r="526" customFormat="false" ht="15" hidden="false" customHeight="false" outlineLevel="0" collapsed="false">
      <c r="A526" s="3" t="s">
        <v>1750</v>
      </c>
      <c r="B526" s="3" t="s">
        <v>48</v>
      </c>
      <c r="C526" s="3" t="s">
        <v>1751</v>
      </c>
      <c r="E526" s="3" t="s">
        <v>1752</v>
      </c>
      <c r="F526" s="3" t="s">
        <v>1574</v>
      </c>
      <c r="G526" s="3" t="s">
        <v>1575</v>
      </c>
      <c r="H526" s="3" t="s">
        <v>1576</v>
      </c>
      <c r="I526" s="3" t="s">
        <v>1753</v>
      </c>
      <c r="M526" s="8" t="n">
        <v>201649</v>
      </c>
      <c r="N526" s="8" t="n">
        <v>456221</v>
      </c>
      <c r="O526" s="9" t="n">
        <v>28.6</v>
      </c>
      <c r="P526" s="9" t="n">
        <v>57</v>
      </c>
      <c r="R526" s="9" t="n">
        <v>1</v>
      </c>
      <c r="T526" s="10" t="n">
        <v>66.1</v>
      </c>
      <c r="U526" s="9" t="n">
        <v>10</v>
      </c>
      <c r="V526" s="3" t="s">
        <v>55</v>
      </c>
      <c r="W526" s="9" t="n">
        <v>0.75</v>
      </c>
      <c r="Z526" s="3" t="s">
        <v>1578</v>
      </c>
      <c r="AA526" s="3" t="s">
        <v>1579</v>
      </c>
      <c r="AB526" s="11" t="n">
        <v>46127</v>
      </c>
    </row>
    <row r="527" customFormat="false" ht="15" hidden="false" customHeight="false" outlineLevel="0" collapsed="false">
      <c r="A527" s="3" t="s">
        <v>1754</v>
      </c>
      <c r="B527" s="3" t="s">
        <v>48</v>
      </c>
      <c r="C527" s="3" t="s">
        <v>1755</v>
      </c>
      <c r="E527" s="3" t="s">
        <v>1756</v>
      </c>
      <c r="F527" s="3" t="s">
        <v>1574</v>
      </c>
      <c r="G527" s="3" t="s">
        <v>1575</v>
      </c>
      <c r="H527" s="3" t="s">
        <v>1576</v>
      </c>
      <c r="I527" s="3" t="s">
        <v>1757</v>
      </c>
      <c r="M527" s="8" t="n">
        <v>190790</v>
      </c>
      <c r="N527" s="8" t="n">
        <v>166911</v>
      </c>
      <c r="O527" s="9" t="n">
        <v>19.8</v>
      </c>
      <c r="P527" s="9" t="n">
        <v>35</v>
      </c>
      <c r="R527" s="9" t="n">
        <v>1</v>
      </c>
      <c r="T527" s="10" t="n">
        <v>26.4</v>
      </c>
      <c r="U527" s="9" t="n">
        <v>9</v>
      </c>
      <c r="V527" s="3" t="s">
        <v>83</v>
      </c>
      <c r="W527" s="9" t="n">
        <v>0.75</v>
      </c>
      <c r="Z527" s="3" t="s">
        <v>1578</v>
      </c>
      <c r="AA527" s="3" t="s">
        <v>1579</v>
      </c>
      <c r="AB527" s="11" t="n">
        <v>46127</v>
      </c>
    </row>
    <row r="528" customFormat="false" ht="15" hidden="false" customHeight="false" outlineLevel="0" collapsed="false">
      <c r="A528" s="3" t="s">
        <v>1758</v>
      </c>
      <c r="B528" s="3" t="s">
        <v>48</v>
      </c>
      <c r="C528" s="3" t="s">
        <v>1759</v>
      </c>
      <c r="E528" s="3" t="s">
        <v>1456</v>
      </c>
      <c r="F528" s="3" t="s">
        <v>1574</v>
      </c>
      <c r="G528" s="3" t="s">
        <v>1575</v>
      </c>
      <c r="H528" s="3" t="s">
        <v>1576</v>
      </c>
      <c r="I528" s="3" t="s">
        <v>1760</v>
      </c>
      <c r="M528" s="8" t="n">
        <v>202545</v>
      </c>
      <c r="N528" s="8" t="n">
        <v>747751</v>
      </c>
      <c r="O528" s="9" t="n">
        <v>19.2</v>
      </c>
      <c r="P528" s="9" t="n">
        <v>61</v>
      </c>
      <c r="R528" s="9" t="n">
        <v>1</v>
      </c>
      <c r="T528" s="10" t="n">
        <v>33.6</v>
      </c>
      <c r="U528" s="9" t="n">
        <v>6</v>
      </c>
      <c r="V528" s="3" t="s">
        <v>83</v>
      </c>
      <c r="W528" s="9" t="n">
        <v>0.75</v>
      </c>
      <c r="Z528" s="3" t="s">
        <v>1578</v>
      </c>
      <c r="AA528" s="3" t="s">
        <v>1579</v>
      </c>
      <c r="AB528" s="11" t="n">
        <v>46127</v>
      </c>
    </row>
    <row r="529" customFormat="false" ht="15" hidden="false" customHeight="false" outlineLevel="0" collapsed="false">
      <c r="A529" s="3" t="s">
        <v>1761</v>
      </c>
      <c r="B529" s="3" t="s">
        <v>48</v>
      </c>
      <c r="C529" s="3" t="s">
        <v>1762</v>
      </c>
      <c r="E529" s="3" t="s">
        <v>1763</v>
      </c>
      <c r="F529" s="3" t="s">
        <v>1574</v>
      </c>
      <c r="G529" s="3" t="s">
        <v>1575</v>
      </c>
      <c r="H529" s="3" t="s">
        <v>1576</v>
      </c>
      <c r="I529" s="3" t="s">
        <v>1764</v>
      </c>
      <c r="M529" s="8" t="n">
        <v>562516</v>
      </c>
      <c r="N529" s="8" t="n">
        <v>256655</v>
      </c>
      <c r="O529" s="9" t="n">
        <v>19.6</v>
      </c>
      <c r="P529" s="9" t="n">
        <v>60</v>
      </c>
      <c r="R529" s="9" t="n">
        <v>1</v>
      </c>
      <c r="T529" s="10" t="n">
        <v>19.2</v>
      </c>
      <c r="U529" s="9" t="n">
        <v>1</v>
      </c>
      <c r="V529" s="3" t="s">
        <v>83</v>
      </c>
      <c r="W529" s="9" t="n">
        <v>0.75</v>
      </c>
      <c r="Z529" s="3" t="s">
        <v>1578</v>
      </c>
      <c r="AA529" s="3" t="s">
        <v>1579</v>
      </c>
      <c r="AB529" s="11" t="n">
        <v>46127</v>
      </c>
    </row>
    <row r="530" customFormat="false" ht="15" hidden="false" customHeight="false" outlineLevel="0" collapsed="false">
      <c r="A530" s="3" t="s">
        <v>1765</v>
      </c>
      <c r="B530" s="3" t="s">
        <v>48</v>
      </c>
      <c r="C530" s="3" t="s">
        <v>1766</v>
      </c>
      <c r="E530" s="3" t="s">
        <v>1767</v>
      </c>
      <c r="F530" s="3" t="s">
        <v>1574</v>
      </c>
      <c r="G530" s="3" t="s">
        <v>1575</v>
      </c>
      <c r="H530" s="3" t="s">
        <v>1576</v>
      </c>
      <c r="I530" s="3" t="s">
        <v>1768</v>
      </c>
      <c r="M530" s="8" t="n">
        <v>454217</v>
      </c>
      <c r="N530" s="8" t="n">
        <v>213459</v>
      </c>
      <c r="O530" s="9" t="n">
        <v>24.9</v>
      </c>
      <c r="P530" s="9" t="n">
        <v>65</v>
      </c>
      <c r="R530" s="9" t="n">
        <v>1</v>
      </c>
      <c r="T530" s="10" t="n">
        <v>53.8</v>
      </c>
      <c r="U530" s="9" t="n">
        <v>5</v>
      </c>
      <c r="V530" s="3" t="s">
        <v>83</v>
      </c>
      <c r="W530" s="9" t="n">
        <v>0.75</v>
      </c>
      <c r="Z530" s="3" t="s">
        <v>1578</v>
      </c>
      <c r="AA530" s="3" t="s">
        <v>1579</v>
      </c>
      <c r="AB530" s="11" t="n">
        <v>46127</v>
      </c>
    </row>
    <row r="531" customFormat="false" ht="15" hidden="false" customHeight="false" outlineLevel="0" collapsed="false">
      <c r="A531" s="3" t="s">
        <v>1769</v>
      </c>
      <c r="B531" s="3" t="s">
        <v>48</v>
      </c>
      <c r="C531" s="3" t="s">
        <v>1770</v>
      </c>
      <c r="E531" s="3" t="s">
        <v>1771</v>
      </c>
      <c r="F531" s="3" t="s">
        <v>1574</v>
      </c>
      <c r="G531" s="3" t="s">
        <v>1575</v>
      </c>
      <c r="H531" s="3" t="s">
        <v>1576</v>
      </c>
      <c r="I531" s="3" t="s">
        <v>1772</v>
      </c>
      <c r="M531" s="8" t="n">
        <v>491948</v>
      </c>
      <c r="N531" s="8" t="n">
        <v>396779</v>
      </c>
      <c r="O531" s="9" t="n">
        <v>24.3</v>
      </c>
      <c r="P531" s="9" t="n">
        <v>72</v>
      </c>
      <c r="R531" s="9" t="n">
        <v>1</v>
      </c>
      <c r="T531" s="10" t="n">
        <v>25.4</v>
      </c>
      <c r="U531" s="9" t="n">
        <v>4</v>
      </c>
      <c r="V531" s="3" t="s">
        <v>83</v>
      </c>
      <c r="W531" s="9" t="n">
        <v>0.75</v>
      </c>
      <c r="Z531" s="3" t="s">
        <v>1578</v>
      </c>
      <c r="AA531" s="3" t="s">
        <v>1579</v>
      </c>
      <c r="AB531" s="11" t="n">
        <v>46127</v>
      </c>
    </row>
    <row r="532" customFormat="false" ht="15" hidden="false" customHeight="false" outlineLevel="0" collapsed="false">
      <c r="A532" s="3" t="s">
        <v>1773</v>
      </c>
      <c r="B532" s="3" t="s">
        <v>48</v>
      </c>
      <c r="C532" s="3" t="s">
        <v>1774</v>
      </c>
      <c r="E532" s="3" t="s">
        <v>1775</v>
      </c>
      <c r="F532" s="3" t="s">
        <v>1574</v>
      </c>
      <c r="G532" s="3" t="s">
        <v>1575</v>
      </c>
      <c r="H532" s="3" t="s">
        <v>1576</v>
      </c>
      <c r="I532" s="3" t="s">
        <v>1776</v>
      </c>
      <c r="M532" s="8" t="n">
        <v>230834</v>
      </c>
      <c r="N532" s="8" t="n">
        <v>232319</v>
      </c>
      <c r="O532" s="9" t="n">
        <v>11</v>
      </c>
      <c r="P532" s="9" t="n">
        <v>65</v>
      </c>
      <c r="R532" s="9" t="n">
        <v>1</v>
      </c>
      <c r="T532" s="10" t="n">
        <v>59</v>
      </c>
      <c r="U532" s="9" t="n">
        <v>10</v>
      </c>
      <c r="V532" s="3" t="s">
        <v>55</v>
      </c>
      <c r="W532" s="9" t="n">
        <v>0.75</v>
      </c>
      <c r="Z532" s="3" t="s">
        <v>1578</v>
      </c>
      <c r="AA532" s="3" t="s">
        <v>1579</v>
      </c>
      <c r="AB532" s="11" t="n">
        <v>46127</v>
      </c>
    </row>
    <row r="533" customFormat="false" ht="15" hidden="false" customHeight="false" outlineLevel="0" collapsed="false">
      <c r="A533" s="3" t="s">
        <v>1777</v>
      </c>
      <c r="B533" s="3" t="s">
        <v>48</v>
      </c>
      <c r="C533" s="3" t="s">
        <v>1778</v>
      </c>
      <c r="E533" s="3" t="s">
        <v>1779</v>
      </c>
      <c r="F533" s="3" t="s">
        <v>1574</v>
      </c>
      <c r="G533" s="3" t="s">
        <v>1575</v>
      </c>
      <c r="H533" s="3" t="s">
        <v>1576</v>
      </c>
      <c r="I533" s="3" t="s">
        <v>1780</v>
      </c>
      <c r="M533" s="8" t="n">
        <v>578494</v>
      </c>
      <c r="N533" s="8" t="n">
        <v>222799</v>
      </c>
      <c r="O533" s="9" t="n">
        <v>14</v>
      </c>
      <c r="P533" s="9" t="n">
        <v>52</v>
      </c>
      <c r="R533" s="9" t="n">
        <v>1</v>
      </c>
      <c r="T533" s="10" t="n">
        <v>88.3</v>
      </c>
      <c r="U533" s="9" t="n">
        <v>7</v>
      </c>
      <c r="V533" s="3" t="s">
        <v>92</v>
      </c>
      <c r="W533" s="9" t="n">
        <v>0.75</v>
      </c>
      <c r="Z533" s="3" t="s">
        <v>1578</v>
      </c>
      <c r="AA533" s="3" t="s">
        <v>1579</v>
      </c>
      <c r="AB533" s="11" t="n">
        <v>46127</v>
      </c>
    </row>
    <row r="534" customFormat="false" ht="15" hidden="false" customHeight="false" outlineLevel="0" collapsed="false">
      <c r="A534" s="3" t="s">
        <v>1781</v>
      </c>
      <c r="B534" s="3" t="s">
        <v>48</v>
      </c>
      <c r="C534" s="3" t="s">
        <v>1782</v>
      </c>
      <c r="E534" s="3" t="s">
        <v>1783</v>
      </c>
      <c r="F534" s="3" t="s">
        <v>1574</v>
      </c>
      <c r="G534" s="3" t="s">
        <v>1575</v>
      </c>
      <c r="H534" s="3" t="s">
        <v>1576</v>
      </c>
      <c r="I534" s="3" t="s">
        <v>1784</v>
      </c>
      <c r="M534" s="8" t="n">
        <v>598543</v>
      </c>
      <c r="N534" s="8" t="n">
        <v>84578</v>
      </c>
      <c r="O534" s="9" t="n">
        <v>11.8</v>
      </c>
      <c r="P534" s="9" t="n">
        <v>50</v>
      </c>
      <c r="R534" s="9" t="n">
        <v>1</v>
      </c>
      <c r="T534" s="10" t="n">
        <v>36.9</v>
      </c>
      <c r="U534" s="9" t="n">
        <v>2</v>
      </c>
      <c r="V534" s="3" t="s">
        <v>55</v>
      </c>
      <c r="W534" s="9" t="n">
        <v>0.75</v>
      </c>
      <c r="Z534" s="3" t="s">
        <v>1578</v>
      </c>
      <c r="AA534" s="3" t="s">
        <v>1579</v>
      </c>
      <c r="AB534" s="11" t="n">
        <v>46127</v>
      </c>
    </row>
    <row r="535" customFormat="false" ht="15" hidden="false" customHeight="false" outlineLevel="0" collapsed="false">
      <c r="A535" s="3" t="s">
        <v>1785</v>
      </c>
      <c r="B535" s="3" t="s">
        <v>48</v>
      </c>
      <c r="C535" s="3" t="s">
        <v>1786</v>
      </c>
      <c r="E535" s="3" t="s">
        <v>1787</v>
      </c>
      <c r="F535" s="3" t="s">
        <v>1574</v>
      </c>
      <c r="G535" s="3" t="s">
        <v>1575</v>
      </c>
      <c r="H535" s="3" t="s">
        <v>1576</v>
      </c>
      <c r="I535" s="3" t="s">
        <v>1788</v>
      </c>
      <c r="M535" s="8" t="n">
        <v>251793</v>
      </c>
      <c r="N535" s="8" t="n">
        <v>335533</v>
      </c>
      <c r="O535" s="9" t="n">
        <v>25.2</v>
      </c>
      <c r="P535" s="9" t="n">
        <v>37</v>
      </c>
      <c r="R535" s="9" t="n">
        <v>1</v>
      </c>
      <c r="T535" s="10" t="n">
        <v>53</v>
      </c>
      <c r="U535" s="9" t="n">
        <v>9</v>
      </c>
      <c r="V535" s="3" t="s">
        <v>92</v>
      </c>
      <c r="W535" s="9" t="n">
        <v>0.75</v>
      </c>
      <c r="Z535" s="3" t="s">
        <v>1578</v>
      </c>
      <c r="AA535" s="3" t="s">
        <v>1579</v>
      </c>
      <c r="AB535" s="11" t="n">
        <v>46127</v>
      </c>
    </row>
    <row r="536" customFormat="false" ht="15" hidden="false" customHeight="false" outlineLevel="0" collapsed="false">
      <c r="A536" s="3" t="s">
        <v>1789</v>
      </c>
      <c r="B536" s="3" t="s">
        <v>48</v>
      </c>
      <c r="C536" s="3" t="s">
        <v>1790</v>
      </c>
      <c r="E536" s="3" t="s">
        <v>1791</v>
      </c>
      <c r="F536" s="3" t="s">
        <v>1574</v>
      </c>
      <c r="G536" s="3" t="s">
        <v>1575</v>
      </c>
      <c r="H536" s="3" t="s">
        <v>1576</v>
      </c>
      <c r="I536" s="3" t="s">
        <v>1792</v>
      </c>
      <c r="M536" s="8" t="n">
        <v>326180</v>
      </c>
      <c r="N536" s="8" t="n">
        <v>145127</v>
      </c>
      <c r="O536" s="9" t="n">
        <v>13.2</v>
      </c>
      <c r="P536" s="9" t="n">
        <v>59</v>
      </c>
      <c r="R536" s="9" t="n">
        <v>1</v>
      </c>
      <c r="T536" s="10" t="n">
        <v>94.6</v>
      </c>
      <c r="U536" s="9" t="n">
        <v>1</v>
      </c>
      <c r="V536" s="3" t="s">
        <v>83</v>
      </c>
      <c r="W536" s="9" t="n">
        <v>0.75</v>
      </c>
      <c r="Z536" s="3" t="s">
        <v>1578</v>
      </c>
      <c r="AA536" s="3" t="s">
        <v>1579</v>
      </c>
      <c r="AB536" s="11" t="n">
        <v>46127</v>
      </c>
    </row>
    <row r="537" customFormat="false" ht="15" hidden="false" customHeight="false" outlineLevel="0" collapsed="false">
      <c r="A537" s="3" t="s">
        <v>1793</v>
      </c>
      <c r="B537" s="3" t="s">
        <v>48</v>
      </c>
      <c r="C537" s="3" t="s">
        <v>1794</v>
      </c>
      <c r="E537" s="3" t="s">
        <v>1795</v>
      </c>
      <c r="F537" s="3" t="s">
        <v>1574</v>
      </c>
      <c r="G537" s="3" t="s">
        <v>1575</v>
      </c>
      <c r="H537" s="3" t="s">
        <v>1576</v>
      </c>
      <c r="I537" s="3" t="s">
        <v>1796</v>
      </c>
      <c r="M537" s="8" t="n">
        <v>1105517</v>
      </c>
      <c r="N537" s="8" t="n">
        <v>247681</v>
      </c>
      <c r="O537" s="9" t="n">
        <v>20.4</v>
      </c>
      <c r="P537" s="9" t="n">
        <v>76</v>
      </c>
      <c r="R537" s="9" t="n">
        <v>1</v>
      </c>
      <c r="T537" s="10" t="n">
        <v>87.5</v>
      </c>
      <c r="U537" s="9" t="n">
        <v>4</v>
      </c>
      <c r="V537" s="3" t="s">
        <v>62</v>
      </c>
      <c r="W537" s="9" t="n">
        <v>0.75</v>
      </c>
      <c r="Z537" s="3" t="s">
        <v>1578</v>
      </c>
      <c r="AA537" s="3" t="s">
        <v>1579</v>
      </c>
      <c r="AB537" s="11" t="n">
        <v>46127</v>
      </c>
    </row>
    <row r="538" customFormat="false" ht="15" hidden="false" customHeight="false" outlineLevel="0" collapsed="false">
      <c r="A538" s="3" t="s">
        <v>1797</v>
      </c>
      <c r="B538" s="3" t="s">
        <v>48</v>
      </c>
      <c r="C538" s="3" t="s">
        <v>1798</v>
      </c>
      <c r="E538" s="3" t="s">
        <v>1799</v>
      </c>
      <c r="F538" s="3" t="s">
        <v>1574</v>
      </c>
      <c r="G538" s="3" t="s">
        <v>1575</v>
      </c>
      <c r="H538" s="3" t="s">
        <v>1576</v>
      </c>
      <c r="I538" s="3" t="s">
        <v>1800</v>
      </c>
      <c r="M538" s="8" t="n">
        <v>304777</v>
      </c>
      <c r="N538" s="8" t="n">
        <v>301899</v>
      </c>
      <c r="O538" s="9" t="n">
        <v>13</v>
      </c>
      <c r="P538" s="9" t="n">
        <v>40</v>
      </c>
      <c r="R538" s="9" t="n">
        <v>1</v>
      </c>
      <c r="T538" s="10" t="n">
        <v>28</v>
      </c>
      <c r="U538" s="9" t="n">
        <v>5</v>
      </c>
      <c r="V538" s="3" t="s">
        <v>62</v>
      </c>
      <c r="W538" s="9" t="n">
        <v>0.75</v>
      </c>
      <c r="Z538" s="3" t="s">
        <v>1578</v>
      </c>
      <c r="AA538" s="3" t="s">
        <v>1579</v>
      </c>
      <c r="AB538" s="11" t="n">
        <v>46127</v>
      </c>
    </row>
    <row r="539" customFormat="false" ht="15" hidden="false" customHeight="false" outlineLevel="0" collapsed="false">
      <c r="A539" s="3" t="s">
        <v>1801</v>
      </c>
      <c r="B539" s="3" t="s">
        <v>48</v>
      </c>
      <c r="C539" s="3" t="s">
        <v>1802</v>
      </c>
      <c r="E539" s="3" t="s">
        <v>1803</v>
      </c>
      <c r="F539" s="3" t="s">
        <v>1574</v>
      </c>
      <c r="G539" s="3" t="s">
        <v>1575</v>
      </c>
      <c r="H539" s="3" t="s">
        <v>1576</v>
      </c>
      <c r="I539" s="3" t="s">
        <v>1804</v>
      </c>
      <c r="M539" s="8" t="n">
        <v>359781</v>
      </c>
      <c r="N539" s="8" t="n">
        <v>481847</v>
      </c>
      <c r="O539" s="9" t="n">
        <v>26.5</v>
      </c>
      <c r="P539" s="9" t="n">
        <v>56</v>
      </c>
      <c r="R539" s="9" t="n">
        <v>1</v>
      </c>
      <c r="T539" s="10" t="n">
        <v>51.2</v>
      </c>
      <c r="U539" s="9" t="n">
        <v>9</v>
      </c>
      <c r="V539" s="3" t="s">
        <v>92</v>
      </c>
      <c r="W539" s="9" t="n">
        <v>0.75</v>
      </c>
      <c r="Z539" s="3" t="s">
        <v>1578</v>
      </c>
      <c r="AA539" s="3" t="s">
        <v>1579</v>
      </c>
      <c r="AB539" s="11" t="n">
        <v>46127</v>
      </c>
    </row>
    <row r="540" customFormat="false" ht="15" hidden="false" customHeight="false" outlineLevel="0" collapsed="false">
      <c r="A540" s="3" t="s">
        <v>1805</v>
      </c>
      <c r="B540" s="3" t="s">
        <v>48</v>
      </c>
      <c r="C540" s="3" t="s">
        <v>1806</v>
      </c>
      <c r="E540" s="3" t="s">
        <v>223</v>
      </c>
      <c r="F540" s="3" t="s">
        <v>1574</v>
      </c>
      <c r="G540" s="3" t="s">
        <v>1575</v>
      </c>
      <c r="H540" s="3" t="s">
        <v>1576</v>
      </c>
      <c r="I540" s="3" t="s">
        <v>1807</v>
      </c>
      <c r="M540" s="8" t="n">
        <v>434923</v>
      </c>
      <c r="N540" s="8" t="n">
        <v>373361</v>
      </c>
      <c r="O540" s="9" t="n">
        <v>25.5</v>
      </c>
      <c r="P540" s="9" t="n">
        <v>42</v>
      </c>
      <c r="R540" s="9" t="n">
        <v>1</v>
      </c>
      <c r="T540" s="10" t="n">
        <v>27.9</v>
      </c>
      <c r="U540" s="9" t="n">
        <v>5</v>
      </c>
      <c r="V540" s="3" t="s">
        <v>92</v>
      </c>
      <c r="W540" s="9" t="n">
        <v>0.75</v>
      </c>
      <c r="Z540" s="3" t="s">
        <v>1578</v>
      </c>
      <c r="AA540" s="3" t="s">
        <v>1579</v>
      </c>
      <c r="AB540" s="11" t="n">
        <v>46127</v>
      </c>
    </row>
    <row r="541" customFormat="false" ht="15" hidden="false" customHeight="false" outlineLevel="0" collapsed="false">
      <c r="A541" s="3" t="s">
        <v>1808</v>
      </c>
      <c r="B541" s="3" t="s">
        <v>48</v>
      </c>
      <c r="C541" s="3" t="s">
        <v>1809</v>
      </c>
      <c r="E541" s="3" t="s">
        <v>1810</v>
      </c>
      <c r="F541" s="3" t="s">
        <v>1574</v>
      </c>
      <c r="G541" s="3" t="s">
        <v>1575</v>
      </c>
      <c r="H541" s="3" t="s">
        <v>1576</v>
      </c>
      <c r="I541" s="3" t="s">
        <v>1811</v>
      </c>
      <c r="M541" s="8" t="n">
        <v>598094</v>
      </c>
      <c r="N541" s="8" t="n">
        <v>365472</v>
      </c>
      <c r="O541" s="9" t="n">
        <v>7.9</v>
      </c>
      <c r="P541" s="9" t="n">
        <v>56</v>
      </c>
      <c r="R541" s="9" t="n">
        <v>1</v>
      </c>
      <c r="T541" s="10" t="n">
        <v>62.2</v>
      </c>
      <c r="U541" s="9" t="n">
        <v>4</v>
      </c>
      <c r="V541" s="3" t="s">
        <v>55</v>
      </c>
      <c r="W541" s="9" t="n">
        <v>0.75</v>
      </c>
      <c r="Z541" s="3" t="s">
        <v>1578</v>
      </c>
      <c r="AA541" s="3" t="s">
        <v>1579</v>
      </c>
      <c r="AB541" s="11" t="n">
        <v>46127</v>
      </c>
    </row>
    <row r="542" customFormat="false" ht="15" hidden="false" customHeight="false" outlineLevel="0" collapsed="false">
      <c r="A542" s="3" t="s">
        <v>1812</v>
      </c>
      <c r="B542" s="3" t="s">
        <v>378</v>
      </c>
      <c r="C542" s="3" t="s">
        <v>1572</v>
      </c>
      <c r="D542" s="3" t="s">
        <v>391</v>
      </c>
      <c r="E542" s="3" t="s">
        <v>410</v>
      </c>
      <c r="F542" s="3" t="s">
        <v>1574</v>
      </c>
      <c r="G542" s="3" t="s">
        <v>1575</v>
      </c>
      <c r="H542" s="3" t="s">
        <v>1576</v>
      </c>
      <c r="I542" s="3" t="s">
        <v>1813</v>
      </c>
      <c r="M542" s="8" t="n">
        <v>317661</v>
      </c>
      <c r="P542" s="9" t="n">
        <v>65</v>
      </c>
      <c r="Q542" s="9" t="n">
        <v>13.4</v>
      </c>
      <c r="R542" s="9" t="n">
        <v>1</v>
      </c>
      <c r="S542" s="8" t="n">
        <v>483842</v>
      </c>
      <c r="T542" s="10" t="n">
        <v>40.6</v>
      </c>
      <c r="U542" s="9" t="n">
        <v>4</v>
      </c>
      <c r="V542" s="3" t="s">
        <v>92</v>
      </c>
      <c r="W542" s="9" t="n">
        <v>0.75</v>
      </c>
      <c r="Z542" s="3" t="s">
        <v>1578</v>
      </c>
      <c r="AA542" s="3" t="s">
        <v>1814</v>
      </c>
      <c r="AB542" s="11" t="n">
        <v>46127</v>
      </c>
    </row>
    <row r="543" customFormat="false" ht="15" hidden="false" customHeight="false" outlineLevel="0" collapsed="false">
      <c r="A543" s="3" t="s">
        <v>1815</v>
      </c>
      <c r="B543" s="3" t="s">
        <v>378</v>
      </c>
      <c r="C543" s="3" t="s">
        <v>1581</v>
      </c>
      <c r="D543" s="3" t="s">
        <v>391</v>
      </c>
      <c r="E543" s="3" t="s">
        <v>1816</v>
      </c>
      <c r="F543" s="3" t="s">
        <v>1574</v>
      </c>
      <c r="G543" s="3" t="s">
        <v>1575</v>
      </c>
      <c r="H543" s="3" t="s">
        <v>1576</v>
      </c>
      <c r="I543" s="3" t="s">
        <v>1448</v>
      </c>
      <c r="M543" s="8" t="n">
        <v>201418</v>
      </c>
      <c r="P543" s="9" t="n">
        <v>73</v>
      </c>
      <c r="Q543" s="9" t="n">
        <v>27.7</v>
      </c>
      <c r="R543" s="9" t="n">
        <v>3</v>
      </c>
      <c r="S543" s="8" t="n">
        <v>516080</v>
      </c>
      <c r="T543" s="10" t="n">
        <v>37</v>
      </c>
      <c r="U543" s="9" t="n">
        <v>6</v>
      </c>
      <c r="V543" s="3" t="s">
        <v>92</v>
      </c>
      <c r="W543" s="9" t="n">
        <v>0.75</v>
      </c>
      <c r="Z543" s="3" t="s">
        <v>1578</v>
      </c>
      <c r="AA543" s="3" t="s">
        <v>1814</v>
      </c>
      <c r="AB543" s="11" t="n">
        <v>46127</v>
      </c>
    </row>
    <row r="544" customFormat="false" ht="15" hidden="false" customHeight="false" outlineLevel="0" collapsed="false">
      <c r="A544" s="3" t="s">
        <v>1817</v>
      </c>
      <c r="B544" s="3" t="s">
        <v>378</v>
      </c>
      <c r="C544" s="3" t="s">
        <v>1584</v>
      </c>
      <c r="D544" s="3" t="s">
        <v>384</v>
      </c>
      <c r="E544" s="3" t="s">
        <v>1818</v>
      </c>
      <c r="F544" s="3" t="s">
        <v>1574</v>
      </c>
      <c r="G544" s="3" t="s">
        <v>1575</v>
      </c>
      <c r="H544" s="3" t="s">
        <v>1576</v>
      </c>
      <c r="I544" s="3" t="s">
        <v>1819</v>
      </c>
      <c r="M544" s="8" t="n">
        <v>210582</v>
      </c>
      <c r="P544" s="9" t="n">
        <v>71</v>
      </c>
      <c r="Q544" s="9" t="n">
        <v>7.7</v>
      </c>
      <c r="R544" s="9" t="n">
        <v>1</v>
      </c>
      <c r="S544" s="8" t="n">
        <v>712635</v>
      </c>
      <c r="T544" s="10" t="n">
        <v>27.3</v>
      </c>
      <c r="U544" s="9" t="n">
        <v>6</v>
      </c>
      <c r="V544" s="3" t="s">
        <v>83</v>
      </c>
      <c r="W544" s="9" t="n">
        <v>0.75</v>
      </c>
      <c r="Z544" s="3" t="s">
        <v>1578</v>
      </c>
      <c r="AA544" s="3" t="s">
        <v>1814</v>
      </c>
      <c r="AB544" s="11" t="n">
        <v>46127</v>
      </c>
    </row>
    <row r="545" customFormat="false" ht="15" hidden="false" customHeight="false" outlineLevel="0" collapsed="false">
      <c r="A545" s="3" t="s">
        <v>1820</v>
      </c>
      <c r="B545" s="3" t="s">
        <v>378</v>
      </c>
      <c r="C545" s="3" t="s">
        <v>1588</v>
      </c>
      <c r="D545" s="3" t="s">
        <v>384</v>
      </c>
      <c r="E545" s="3" t="s">
        <v>1821</v>
      </c>
      <c r="F545" s="3" t="s">
        <v>1574</v>
      </c>
      <c r="G545" s="3" t="s">
        <v>1575</v>
      </c>
      <c r="H545" s="3" t="s">
        <v>1576</v>
      </c>
      <c r="I545" s="3" t="s">
        <v>1822</v>
      </c>
      <c r="M545" s="8" t="n">
        <v>1150674</v>
      </c>
      <c r="P545" s="9" t="n">
        <v>71</v>
      </c>
      <c r="Q545" s="9" t="n">
        <v>28.3</v>
      </c>
      <c r="R545" s="9" t="n">
        <v>1</v>
      </c>
      <c r="S545" s="8" t="n">
        <v>320949</v>
      </c>
      <c r="T545" s="10" t="n">
        <v>47.7</v>
      </c>
      <c r="U545" s="9" t="n">
        <v>8</v>
      </c>
      <c r="V545" s="3" t="s">
        <v>55</v>
      </c>
      <c r="W545" s="9" t="n">
        <v>0.75</v>
      </c>
      <c r="Z545" s="3" t="s">
        <v>1578</v>
      </c>
      <c r="AA545" s="3" t="s">
        <v>1814</v>
      </c>
      <c r="AB545" s="11" t="n">
        <v>46127</v>
      </c>
    </row>
    <row r="546" customFormat="false" ht="15" hidden="false" customHeight="false" outlineLevel="0" collapsed="false">
      <c r="A546" s="3" t="s">
        <v>1823</v>
      </c>
      <c r="B546" s="3" t="s">
        <v>378</v>
      </c>
      <c r="C546" s="3" t="s">
        <v>1592</v>
      </c>
      <c r="D546" s="3" t="s">
        <v>391</v>
      </c>
      <c r="E546" s="3" t="s">
        <v>1824</v>
      </c>
      <c r="F546" s="3" t="s">
        <v>1574</v>
      </c>
      <c r="G546" s="3" t="s">
        <v>1575</v>
      </c>
      <c r="H546" s="3" t="s">
        <v>1576</v>
      </c>
      <c r="I546" s="3" t="s">
        <v>1825</v>
      </c>
      <c r="M546" s="8" t="n">
        <v>299019</v>
      </c>
      <c r="P546" s="9" t="n">
        <v>35</v>
      </c>
      <c r="Q546" s="9" t="n">
        <v>18.6</v>
      </c>
      <c r="R546" s="9" t="n">
        <v>1</v>
      </c>
      <c r="S546" s="8" t="n">
        <v>1224032</v>
      </c>
      <c r="T546" s="10" t="n">
        <v>89.4</v>
      </c>
      <c r="U546" s="9" t="n">
        <v>10</v>
      </c>
      <c r="V546" s="3" t="s">
        <v>83</v>
      </c>
      <c r="W546" s="9" t="n">
        <v>0.75</v>
      </c>
      <c r="Z546" s="3" t="s">
        <v>1578</v>
      </c>
      <c r="AA546" s="3" t="s">
        <v>1814</v>
      </c>
      <c r="AB546" s="11" t="n">
        <v>46127</v>
      </c>
    </row>
    <row r="547" customFormat="false" ht="15" hidden="false" customHeight="false" outlineLevel="0" collapsed="false">
      <c r="A547" s="3" t="s">
        <v>1826</v>
      </c>
      <c r="B547" s="3" t="s">
        <v>378</v>
      </c>
      <c r="C547" s="3" t="s">
        <v>1596</v>
      </c>
      <c r="D547" s="3" t="s">
        <v>379</v>
      </c>
      <c r="E547" s="3" t="s">
        <v>1827</v>
      </c>
      <c r="F547" s="3" t="s">
        <v>1574</v>
      </c>
      <c r="G547" s="3" t="s">
        <v>1575</v>
      </c>
      <c r="H547" s="3" t="s">
        <v>1576</v>
      </c>
      <c r="I547" s="3" t="s">
        <v>1828</v>
      </c>
      <c r="M547" s="8" t="n">
        <v>460189</v>
      </c>
      <c r="P547" s="9" t="n">
        <v>58</v>
      </c>
      <c r="Q547" s="9" t="n">
        <v>17.7</v>
      </c>
      <c r="R547" s="9" t="n">
        <v>1</v>
      </c>
      <c r="S547" s="8" t="n">
        <v>239457</v>
      </c>
      <c r="T547" s="10" t="n">
        <v>76.7</v>
      </c>
      <c r="U547" s="9" t="n">
        <v>4</v>
      </c>
      <c r="V547" s="3" t="s">
        <v>92</v>
      </c>
      <c r="W547" s="9" t="n">
        <v>0.75</v>
      </c>
      <c r="Z547" s="3" t="s">
        <v>1578</v>
      </c>
      <c r="AA547" s="3" t="s">
        <v>1814</v>
      </c>
      <c r="AB547" s="11" t="n">
        <v>46127</v>
      </c>
    </row>
    <row r="548" customFormat="false" ht="15" hidden="false" customHeight="false" outlineLevel="0" collapsed="false">
      <c r="A548" s="3" t="s">
        <v>1829</v>
      </c>
      <c r="B548" s="3" t="s">
        <v>378</v>
      </c>
      <c r="C548" s="3" t="s">
        <v>1600</v>
      </c>
      <c r="D548" s="3" t="s">
        <v>391</v>
      </c>
      <c r="E548" s="3" t="s">
        <v>1830</v>
      </c>
      <c r="F548" s="3" t="s">
        <v>1574</v>
      </c>
      <c r="G548" s="3" t="s">
        <v>1575</v>
      </c>
      <c r="H548" s="3" t="s">
        <v>1576</v>
      </c>
      <c r="I548" s="3" t="s">
        <v>1831</v>
      </c>
      <c r="M548" s="8" t="n">
        <v>1042531</v>
      </c>
      <c r="P548" s="9" t="n">
        <v>77</v>
      </c>
      <c r="Q548" s="9" t="n">
        <v>9.1</v>
      </c>
      <c r="R548" s="9" t="n">
        <v>1</v>
      </c>
      <c r="S548" s="8" t="n">
        <v>651872</v>
      </c>
      <c r="T548" s="10" t="n">
        <v>65.7</v>
      </c>
      <c r="U548" s="9" t="n">
        <v>9</v>
      </c>
      <c r="V548" s="3" t="s">
        <v>62</v>
      </c>
      <c r="W548" s="9" t="n">
        <v>0.75</v>
      </c>
      <c r="Z548" s="3" t="s">
        <v>1578</v>
      </c>
      <c r="AA548" s="3" t="s">
        <v>1814</v>
      </c>
      <c r="AB548" s="11" t="n">
        <v>46127</v>
      </c>
    </row>
    <row r="549" customFormat="false" ht="15" hidden="false" customHeight="false" outlineLevel="0" collapsed="false">
      <c r="A549" s="3" t="s">
        <v>1832</v>
      </c>
      <c r="B549" s="3" t="s">
        <v>378</v>
      </c>
      <c r="C549" s="3" t="s">
        <v>1604</v>
      </c>
      <c r="D549" s="3" t="s">
        <v>379</v>
      </c>
      <c r="E549" s="3" t="s">
        <v>1833</v>
      </c>
      <c r="F549" s="3" t="s">
        <v>1574</v>
      </c>
      <c r="G549" s="3" t="s">
        <v>1575</v>
      </c>
      <c r="H549" s="3" t="s">
        <v>1576</v>
      </c>
      <c r="I549" s="3" t="s">
        <v>1796</v>
      </c>
      <c r="M549" s="8" t="n">
        <v>106589</v>
      </c>
      <c r="P549" s="9" t="n">
        <v>46</v>
      </c>
      <c r="Q549" s="9" t="n">
        <v>22.4</v>
      </c>
      <c r="R549" s="9" t="n">
        <v>1</v>
      </c>
      <c r="S549" s="8" t="n">
        <v>217877</v>
      </c>
      <c r="T549" s="10" t="n">
        <v>16</v>
      </c>
      <c r="U549" s="9" t="n">
        <v>6</v>
      </c>
      <c r="V549" s="3" t="s">
        <v>92</v>
      </c>
      <c r="W549" s="9" t="n">
        <v>0.75</v>
      </c>
      <c r="Z549" s="3" t="s">
        <v>1578</v>
      </c>
      <c r="AA549" s="3" t="s">
        <v>1814</v>
      </c>
      <c r="AB549" s="11" t="n">
        <v>46127</v>
      </c>
    </row>
    <row r="550" customFormat="false" ht="15" hidden="false" customHeight="false" outlineLevel="0" collapsed="false">
      <c r="A550" s="3" t="s">
        <v>1834</v>
      </c>
      <c r="B550" s="3" t="s">
        <v>378</v>
      </c>
      <c r="C550" s="3" t="s">
        <v>1608</v>
      </c>
      <c r="D550" s="3" t="s">
        <v>391</v>
      </c>
      <c r="E550" s="3" t="s">
        <v>1835</v>
      </c>
      <c r="F550" s="3" t="s">
        <v>1574</v>
      </c>
      <c r="G550" s="3" t="s">
        <v>1575</v>
      </c>
      <c r="H550" s="3" t="s">
        <v>1576</v>
      </c>
      <c r="I550" s="3" t="s">
        <v>1836</v>
      </c>
      <c r="M550" s="8" t="n">
        <v>262919</v>
      </c>
      <c r="P550" s="9" t="n">
        <v>47</v>
      </c>
      <c r="Q550" s="9" t="n">
        <v>29.5</v>
      </c>
      <c r="R550" s="9" t="n">
        <v>1</v>
      </c>
      <c r="S550" s="8" t="n">
        <v>374598</v>
      </c>
      <c r="T550" s="10" t="n">
        <v>47</v>
      </c>
      <c r="U550" s="9" t="n">
        <v>5</v>
      </c>
      <c r="V550" s="3" t="s">
        <v>55</v>
      </c>
      <c r="W550" s="9" t="n">
        <v>0.75</v>
      </c>
      <c r="Z550" s="3" t="s">
        <v>1578</v>
      </c>
      <c r="AA550" s="3" t="s">
        <v>1814</v>
      </c>
      <c r="AB550" s="11" t="n">
        <v>46127</v>
      </c>
    </row>
    <row r="551" customFormat="false" ht="15" hidden="false" customHeight="false" outlineLevel="0" collapsed="false">
      <c r="A551" s="3" t="s">
        <v>1837</v>
      </c>
      <c r="B551" s="3" t="s">
        <v>378</v>
      </c>
      <c r="C551" s="3" t="s">
        <v>1612</v>
      </c>
      <c r="D551" s="3" t="s">
        <v>391</v>
      </c>
      <c r="E551" s="3" t="s">
        <v>1838</v>
      </c>
      <c r="F551" s="3" t="s">
        <v>1574</v>
      </c>
      <c r="G551" s="3" t="s">
        <v>1575</v>
      </c>
      <c r="H551" s="3" t="s">
        <v>1576</v>
      </c>
      <c r="I551" s="3" t="s">
        <v>1839</v>
      </c>
      <c r="M551" s="8" t="n">
        <v>307378</v>
      </c>
      <c r="P551" s="9" t="n">
        <v>39</v>
      </c>
      <c r="Q551" s="9" t="n">
        <v>11.5</v>
      </c>
      <c r="R551" s="9" t="n">
        <v>1</v>
      </c>
      <c r="S551" s="8" t="n">
        <v>157495</v>
      </c>
      <c r="T551" s="10" t="n">
        <v>58.3</v>
      </c>
      <c r="U551" s="9" t="n">
        <v>5</v>
      </c>
      <c r="V551" s="3" t="s">
        <v>55</v>
      </c>
      <c r="W551" s="9" t="n">
        <v>0.75</v>
      </c>
      <c r="Z551" s="3" t="s">
        <v>1578</v>
      </c>
      <c r="AA551" s="3" t="s">
        <v>1814</v>
      </c>
      <c r="AB551" s="11" t="n">
        <v>46127</v>
      </c>
    </row>
    <row r="552" customFormat="false" ht="15" hidden="false" customHeight="false" outlineLevel="0" collapsed="false">
      <c r="A552" s="3" t="s">
        <v>1840</v>
      </c>
      <c r="B552" s="3" t="s">
        <v>378</v>
      </c>
      <c r="C552" s="3" t="s">
        <v>1616</v>
      </c>
      <c r="D552" s="3" t="s">
        <v>391</v>
      </c>
      <c r="E552" s="3" t="s">
        <v>1841</v>
      </c>
      <c r="F552" s="3" t="s">
        <v>1574</v>
      </c>
      <c r="G552" s="3" t="s">
        <v>1575</v>
      </c>
      <c r="H552" s="3" t="s">
        <v>1576</v>
      </c>
      <c r="I552" s="3" t="s">
        <v>1842</v>
      </c>
      <c r="M552" s="8" t="n">
        <v>172370</v>
      </c>
      <c r="P552" s="9" t="n">
        <v>40</v>
      </c>
      <c r="Q552" s="9" t="n">
        <v>18.9</v>
      </c>
      <c r="R552" s="9" t="n">
        <v>1</v>
      </c>
      <c r="S552" s="8" t="n">
        <v>675235</v>
      </c>
      <c r="T552" s="10" t="n">
        <v>70.5</v>
      </c>
      <c r="U552" s="9" t="n">
        <v>6</v>
      </c>
      <c r="V552" s="3" t="s">
        <v>55</v>
      </c>
      <c r="W552" s="9" t="n">
        <v>0.75</v>
      </c>
      <c r="Z552" s="3" t="s">
        <v>1578</v>
      </c>
      <c r="AA552" s="3" t="s">
        <v>1814</v>
      </c>
      <c r="AB552" s="11" t="n">
        <v>46127</v>
      </c>
    </row>
    <row r="553" customFormat="false" ht="15" hidden="false" customHeight="false" outlineLevel="0" collapsed="false">
      <c r="A553" s="3" t="s">
        <v>1843</v>
      </c>
      <c r="B553" s="3" t="s">
        <v>378</v>
      </c>
      <c r="C553" s="3" t="s">
        <v>1620</v>
      </c>
      <c r="D553" s="3" t="s">
        <v>391</v>
      </c>
      <c r="E553" s="3" t="s">
        <v>1844</v>
      </c>
      <c r="F553" s="3" t="s">
        <v>1574</v>
      </c>
      <c r="G553" s="3" t="s">
        <v>1575</v>
      </c>
      <c r="H553" s="3" t="s">
        <v>1576</v>
      </c>
      <c r="I553" s="3" t="s">
        <v>1845</v>
      </c>
      <c r="M553" s="8" t="n">
        <v>271867</v>
      </c>
      <c r="P553" s="9" t="n">
        <v>62</v>
      </c>
      <c r="Q553" s="9" t="n">
        <v>2.4</v>
      </c>
      <c r="R553" s="9" t="n">
        <v>1</v>
      </c>
      <c r="S553" s="8" t="n">
        <v>611319</v>
      </c>
      <c r="T553" s="10" t="n">
        <v>74.7</v>
      </c>
      <c r="U553" s="9" t="n">
        <v>4</v>
      </c>
      <c r="V553" s="3" t="s">
        <v>92</v>
      </c>
      <c r="W553" s="9" t="n">
        <v>0.75</v>
      </c>
      <c r="Z553" s="3" t="s">
        <v>1578</v>
      </c>
      <c r="AA553" s="3" t="s">
        <v>1814</v>
      </c>
      <c r="AB553" s="11" t="n">
        <v>46127</v>
      </c>
    </row>
    <row r="554" customFormat="false" ht="15" hidden="false" customHeight="false" outlineLevel="0" collapsed="false">
      <c r="A554" s="3" t="s">
        <v>1846</v>
      </c>
      <c r="B554" s="3" t="s">
        <v>378</v>
      </c>
      <c r="C554" s="3" t="s">
        <v>1624</v>
      </c>
      <c r="D554" s="3" t="s">
        <v>391</v>
      </c>
      <c r="E554" s="3" t="s">
        <v>1847</v>
      </c>
      <c r="F554" s="3" t="s">
        <v>1574</v>
      </c>
      <c r="G554" s="3" t="s">
        <v>1575</v>
      </c>
      <c r="H554" s="3" t="s">
        <v>1576</v>
      </c>
      <c r="I554" s="3" t="s">
        <v>1848</v>
      </c>
      <c r="M554" s="8" t="n">
        <v>458164</v>
      </c>
      <c r="P554" s="9" t="n">
        <v>53</v>
      </c>
      <c r="Q554" s="9" t="n">
        <v>12.6</v>
      </c>
      <c r="R554" s="9" t="n">
        <v>1</v>
      </c>
      <c r="S554" s="8" t="n">
        <v>271830</v>
      </c>
      <c r="T554" s="10" t="n">
        <v>77.5</v>
      </c>
      <c r="U554" s="9" t="n">
        <v>5</v>
      </c>
      <c r="V554" s="3" t="s">
        <v>55</v>
      </c>
      <c r="W554" s="9" t="n">
        <v>0.75</v>
      </c>
      <c r="Z554" s="3" t="s">
        <v>1578</v>
      </c>
      <c r="AA554" s="3" t="s">
        <v>1814</v>
      </c>
      <c r="AB554" s="11" t="n">
        <v>46127</v>
      </c>
    </row>
    <row r="555" customFormat="false" ht="15" hidden="false" customHeight="false" outlineLevel="0" collapsed="false">
      <c r="A555" s="3" t="s">
        <v>1849</v>
      </c>
      <c r="B555" s="3" t="s">
        <v>378</v>
      </c>
      <c r="C555" s="3" t="s">
        <v>1628</v>
      </c>
      <c r="D555" s="3" t="s">
        <v>379</v>
      </c>
      <c r="E555" s="3" t="s">
        <v>1850</v>
      </c>
      <c r="F555" s="3" t="s">
        <v>1574</v>
      </c>
      <c r="G555" s="3" t="s">
        <v>1575</v>
      </c>
      <c r="H555" s="3" t="s">
        <v>1576</v>
      </c>
      <c r="I555" s="3" t="s">
        <v>1851</v>
      </c>
      <c r="M555" s="8" t="n">
        <v>182843</v>
      </c>
      <c r="P555" s="9" t="n">
        <v>68</v>
      </c>
      <c r="Q555" s="9" t="n">
        <v>7.7</v>
      </c>
      <c r="R555" s="9" t="n">
        <v>2</v>
      </c>
      <c r="S555" s="8" t="n">
        <v>457814</v>
      </c>
      <c r="T555" s="10" t="n">
        <v>18.3</v>
      </c>
      <c r="U555" s="9" t="n">
        <v>10</v>
      </c>
      <c r="V555" s="3" t="s">
        <v>55</v>
      </c>
      <c r="W555" s="9" t="n">
        <v>0.75</v>
      </c>
      <c r="Z555" s="3" t="s">
        <v>1578</v>
      </c>
      <c r="AA555" s="3" t="s">
        <v>1814</v>
      </c>
      <c r="AB555" s="11" t="n">
        <v>46127</v>
      </c>
    </row>
    <row r="556" customFormat="false" ht="15" hidden="false" customHeight="false" outlineLevel="0" collapsed="false">
      <c r="A556" s="3" t="s">
        <v>1852</v>
      </c>
      <c r="B556" s="3" t="s">
        <v>378</v>
      </c>
      <c r="C556" s="3" t="s">
        <v>1632</v>
      </c>
      <c r="D556" s="3" t="s">
        <v>391</v>
      </c>
      <c r="E556" s="3" t="s">
        <v>1853</v>
      </c>
      <c r="F556" s="3" t="s">
        <v>1574</v>
      </c>
      <c r="G556" s="3" t="s">
        <v>1575</v>
      </c>
      <c r="H556" s="3" t="s">
        <v>1576</v>
      </c>
      <c r="I556" s="3" t="s">
        <v>1854</v>
      </c>
      <c r="M556" s="8" t="n">
        <v>584964</v>
      </c>
      <c r="P556" s="9" t="n">
        <v>35</v>
      </c>
      <c r="Q556" s="9" t="n">
        <v>13.8</v>
      </c>
      <c r="R556" s="9" t="n">
        <v>1</v>
      </c>
      <c r="S556" s="8" t="n">
        <v>1050292</v>
      </c>
      <c r="T556" s="10" t="n">
        <v>40.8</v>
      </c>
      <c r="U556" s="9" t="n">
        <v>7</v>
      </c>
      <c r="V556" s="3" t="s">
        <v>83</v>
      </c>
      <c r="W556" s="9" t="n">
        <v>0.75</v>
      </c>
      <c r="Z556" s="3" t="s">
        <v>1578</v>
      </c>
      <c r="AA556" s="3" t="s">
        <v>1814</v>
      </c>
      <c r="AB556" s="11" t="n">
        <v>46127</v>
      </c>
    </row>
    <row r="557" customFormat="false" ht="15" hidden="false" customHeight="false" outlineLevel="0" collapsed="false">
      <c r="A557" s="3" t="s">
        <v>1855</v>
      </c>
      <c r="B557" s="3" t="s">
        <v>378</v>
      </c>
      <c r="C557" s="3" t="s">
        <v>1636</v>
      </c>
      <c r="D557" s="3" t="s">
        <v>379</v>
      </c>
      <c r="E557" s="3" t="s">
        <v>1856</v>
      </c>
      <c r="F557" s="3" t="s">
        <v>1574</v>
      </c>
      <c r="G557" s="3" t="s">
        <v>1575</v>
      </c>
      <c r="H557" s="3" t="s">
        <v>1576</v>
      </c>
      <c r="I557" s="3" t="s">
        <v>1857</v>
      </c>
      <c r="M557" s="8" t="n">
        <v>250324</v>
      </c>
      <c r="P557" s="9" t="n">
        <v>36</v>
      </c>
      <c r="Q557" s="9" t="n">
        <v>24.2</v>
      </c>
      <c r="R557" s="9" t="n">
        <v>1</v>
      </c>
      <c r="S557" s="8" t="n">
        <v>724264</v>
      </c>
      <c r="T557" s="10" t="n">
        <v>29</v>
      </c>
      <c r="U557" s="9" t="n">
        <v>10</v>
      </c>
      <c r="V557" s="3" t="s">
        <v>62</v>
      </c>
      <c r="W557" s="9" t="n">
        <v>0.75</v>
      </c>
      <c r="Z557" s="3" t="s">
        <v>1578</v>
      </c>
      <c r="AA557" s="3" t="s">
        <v>1814</v>
      </c>
      <c r="AB557" s="11" t="n">
        <v>46127</v>
      </c>
    </row>
    <row r="558" customFormat="false" ht="15" hidden="false" customHeight="false" outlineLevel="0" collapsed="false">
      <c r="A558" s="3" t="s">
        <v>1858</v>
      </c>
      <c r="B558" s="3" t="s">
        <v>378</v>
      </c>
      <c r="C558" s="3" t="s">
        <v>1640</v>
      </c>
      <c r="D558" s="3" t="s">
        <v>379</v>
      </c>
      <c r="E558" s="3" t="s">
        <v>1859</v>
      </c>
      <c r="F558" s="3" t="s">
        <v>1574</v>
      </c>
      <c r="G558" s="3" t="s">
        <v>1575</v>
      </c>
      <c r="H558" s="3" t="s">
        <v>1576</v>
      </c>
      <c r="I558" s="3" t="s">
        <v>1860</v>
      </c>
      <c r="M558" s="8" t="n">
        <v>150479</v>
      </c>
      <c r="P558" s="9" t="n">
        <v>45</v>
      </c>
      <c r="Q558" s="9" t="n">
        <v>2.5</v>
      </c>
      <c r="R558" s="9" t="n">
        <v>1</v>
      </c>
      <c r="S558" s="8" t="n">
        <v>536233</v>
      </c>
      <c r="T558" s="10" t="n">
        <v>71.2</v>
      </c>
      <c r="U558" s="9" t="n">
        <v>9</v>
      </c>
      <c r="V558" s="3" t="s">
        <v>55</v>
      </c>
      <c r="W558" s="9" t="n">
        <v>0.75</v>
      </c>
      <c r="Z558" s="3" t="s">
        <v>1578</v>
      </c>
      <c r="AA558" s="3" t="s">
        <v>1814</v>
      </c>
      <c r="AB558" s="11" t="n">
        <v>46127</v>
      </c>
    </row>
    <row r="559" customFormat="false" ht="15" hidden="false" customHeight="false" outlineLevel="0" collapsed="false">
      <c r="A559" s="3" t="s">
        <v>1861</v>
      </c>
      <c r="B559" s="3" t="s">
        <v>378</v>
      </c>
      <c r="C559" s="3" t="s">
        <v>1644</v>
      </c>
      <c r="D559" s="3" t="s">
        <v>384</v>
      </c>
      <c r="E559" s="3" t="s">
        <v>1862</v>
      </c>
      <c r="F559" s="3" t="s">
        <v>1574</v>
      </c>
      <c r="G559" s="3" t="s">
        <v>1575</v>
      </c>
      <c r="H559" s="3" t="s">
        <v>1576</v>
      </c>
      <c r="I559" s="3" t="s">
        <v>1863</v>
      </c>
      <c r="M559" s="8" t="n">
        <v>372108</v>
      </c>
      <c r="P559" s="9" t="n">
        <v>44</v>
      </c>
      <c r="Q559" s="9" t="n">
        <v>8.5</v>
      </c>
      <c r="R559" s="9" t="n">
        <v>1</v>
      </c>
      <c r="S559" s="8" t="n">
        <v>748298</v>
      </c>
      <c r="T559" s="10" t="n">
        <v>50.8</v>
      </c>
      <c r="U559" s="9" t="n">
        <v>9</v>
      </c>
      <c r="V559" s="3" t="s">
        <v>62</v>
      </c>
      <c r="W559" s="9" t="n">
        <v>0.75</v>
      </c>
      <c r="Z559" s="3" t="s">
        <v>1578</v>
      </c>
      <c r="AA559" s="3" t="s">
        <v>1814</v>
      </c>
      <c r="AB559" s="11" t="n">
        <v>46127</v>
      </c>
    </row>
    <row r="560" customFormat="false" ht="15" hidden="false" customHeight="false" outlineLevel="0" collapsed="false">
      <c r="A560" s="3" t="s">
        <v>1864</v>
      </c>
      <c r="B560" s="3" t="s">
        <v>378</v>
      </c>
      <c r="C560" s="3" t="s">
        <v>1648</v>
      </c>
      <c r="D560" s="3" t="s">
        <v>384</v>
      </c>
      <c r="E560" s="3" t="s">
        <v>1865</v>
      </c>
      <c r="F560" s="3" t="s">
        <v>1574</v>
      </c>
      <c r="G560" s="3" t="s">
        <v>1575</v>
      </c>
      <c r="H560" s="3" t="s">
        <v>1576</v>
      </c>
      <c r="I560" s="3" t="s">
        <v>1866</v>
      </c>
      <c r="M560" s="8" t="n">
        <v>232730</v>
      </c>
      <c r="P560" s="9" t="n">
        <v>44</v>
      </c>
      <c r="Q560" s="9" t="n">
        <v>16.8</v>
      </c>
      <c r="R560" s="9" t="n">
        <v>1</v>
      </c>
      <c r="S560" s="8" t="n">
        <v>316285</v>
      </c>
      <c r="T560" s="10" t="n">
        <v>17.9</v>
      </c>
      <c r="U560" s="9" t="n">
        <v>4</v>
      </c>
      <c r="V560" s="3" t="s">
        <v>55</v>
      </c>
      <c r="W560" s="9" t="n">
        <v>0.75</v>
      </c>
      <c r="Z560" s="3" t="s">
        <v>1578</v>
      </c>
      <c r="AA560" s="3" t="s">
        <v>1814</v>
      </c>
      <c r="AB560" s="11" t="n">
        <v>46127</v>
      </c>
    </row>
    <row r="561" customFormat="false" ht="15" hidden="false" customHeight="false" outlineLevel="0" collapsed="false">
      <c r="A561" s="3" t="s">
        <v>1867</v>
      </c>
      <c r="B561" s="3" t="s">
        <v>378</v>
      </c>
      <c r="C561" s="3" t="s">
        <v>1652</v>
      </c>
      <c r="D561" s="3" t="s">
        <v>379</v>
      </c>
      <c r="E561" s="3" t="s">
        <v>1868</v>
      </c>
      <c r="F561" s="3" t="s">
        <v>1574</v>
      </c>
      <c r="G561" s="3" t="s">
        <v>1575</v>
      </c>
      <c r="H561" s="3" t="s">
        <v>1576</v>
      </c>
      <c r="I561" s="3" t="s">
        <v>1869</v>
      </c>
      <c r="M561" s="8" t="n">
        <v>193021</v>
      </c>
      <c r="P561" s="9" t="n">
        <v>44</v>
      </c>
      <c r="Q561" s="9" t="n">
        <v>16.8</v>
      </c>
      <c r="R561" s="9" t="n">
        <v>3</v>
      </c>
      <c r="S561" s="8" t="n">
        <v>627431</v>
      </c>
      <c r="T561" s="10" t="n">
        <v>39.4</v>
      </c>
      <c r="U561" s="9" t="n">
        <v>5</v>
      </c>
      <c r="V561" s="3" t="s">
        <v>92</v>
      </c>
      <c r="W561" s="9" t="n">
        <v>0.75</v>
      </c>
      <c r="Z561" s="3" t="s">
        <v>1578</v>
      </c>
      <c r="AA561" s="3" t="s">
        <v>1814</v>
      </c>
      <c r="AB561" s="11" t="n">
        <v>46127</v>
      </c>
    </row>
    <row r="562" customFormat="false" ht="15" hidden="false" customHeight="false" outlineLevel="0" collapsed="false">
      <c r="A562" s="3" t="s">
        <v>1870</v>
      </c>
      <c r="B562" s="3" t="s">
        <v>378</v>
      </c>
      <c r="C562" s="3" t="s">
        <v>1656</v>
      </c>
      <c r="D562" s="3" t="s">
        <v>384</v>
      </c>
      <c r="E562" s="3" t="s">
        <v>1871</v>
      </c>
      <c r="F562" s="3" t="s">
        <v>1574</v>
      </c>
      <c r="G562" s="3" t="s">
        <v>1575</v>
      </c>
      <c r="H562" s="3" t="s">
        <v>1576</v>
      </c>
      <c r="I562" s="3" t="s">
        <v>1872</v>
      </c>
      <c r="M562" s="8" t="n">
        <v>621589</v>
      </c>
      <c r="P562" s="9" t="n">
        <v>39</v>
      </c>
      <c r="Q562" s="9" t="n">
        <v>11.7</v>
      </c>
      <c r="R562" s="9" t="n">
        <v>1</v>
      </c>
      <c r="S562" s="8" t="n">
        <v>200811</v>
      </c>
      <c r="T562" s="10" t="n">
        <v>65.1</v>
      </c>
      <c r="U562" s="9" t="n">
        <v>2</v>
      </c>
      <c r="V562" s="3" t="s">
        <v>55</v>
      </c>
      <c r="W562" s="9" t="n">
        <v>0.75</v>
      </c>
      <c r="Z562" s="3" t="s">
        <v>1578</v>
      </c>
      <c r="AA562" s="3" t="s">
        <v>1814</v>
      </c>
      <c r="AB562" s="11" t="n">
        <v>46127</v>
      </c>
    </row>
    <row r="563" customFormat="false" ht="15" hidden="false" customHeight="false" outlineLevel="0" collapsed="false">
      <c r="A563" s="3" t="s">
        <v>1873</v>
      </c>
      <c r="B563" s="3" t="s">
        <v>378</v>
      </c>
      <c r="C563" s="3" t="s">
        <v>1660</v>
      </c>
      <c r="D563" s="3" t="s">
        <v>379</v>
      </c>
      <c r="E563" s="3" t="s">
        <v>1874</v>
      </c>
      <c r="F563" s="3" t="s">
        <v>1574</v>
      </c>
      <c r="G563" s="3" t="s">
        <v>1575</v>
      </c>
      <c r="H563" s="3" t="s">
        <v>1576</v>
      </c>
      <c r="I563" s="3" t="s">
        <v>1875</v>
      </c>
      <c r="M563" s="8" t="n">
        <v>362519</v>
      </c>
      <c r="P563" s="9" t="n">
        <v>54</v>
      </c>
      <c r="Q563" s="9" t="n">
        <v>29.2</v>
      </c>
      <c r="R563" s="9" t="n">
        <v>1</v>
      </c>
      <c r="S563" s="8" t="n">
        <v>206593</v>
      </c>
      <c r="T563" s="10" t="n">
        <v>63.8</v>
      </c>
      <c r="U563" s="9" t="n">
        <v>4</v>
      </c>
      <c r="V563" s="3" t="s">
        <v>55</v>
      </c>
      <c r="W563" s="9" t="n">
        <v>0.75</v>
      </c>
      <c r="Z563" s="3" t="s">
        <v>1578</v>
      </c>
      <c r="AA563" s="3" t="s">
        <v>1814</v>
      </c>
      <c r="AB563" s="11" t="n">
        <v>46127</v>
      </c>
    </row>
    <row r="564" customFormat="false" ht="15" hidden="false" customHeight="false" outlineLevel="0" collapsed="false">
      <c r="A564" s="3" t="s">
        <v>1876</v>
      </c>
      <c r="B564" s="3" t="s">
        <v>378</v>
      </c>
      <c r="C564" s="3" t="s">
        <v>1664</v>
      </c>
      <c r="D564" s="3" t="s">
        <v>384</v>
      </c>
      <c r="E564" s="3" t="s">
        <v>1877</v>
      </c>
      <c r="F564" s="3" t="s">
        <v>1574</v>
      </c>
      <c r="G564" s="3" t="s">
        <v>1575</v>
      </c>
      <c r="H564" s="3" t="s">
        <v>1576</v>
      </c>
      <c r="I564" s="3" t="s">
        <v>1878</v>
      </c>
      <c r="M564" s="8" t="n">
        <v>1474324</v>
      </c>
      <c r="P564" s="9" t="n">
        <v>42</v>
      </c>
      <c r="Q564" s="9" t="n">
        <v>12.2</v>
      </c>
      <c r="R564" s="9" t="n">
        <v>1</v>
      </c>
      <c r="S564" s="8" t="n">
        <v>138093</v>
      </c>
      <c r="T564" s="10" t="n">
        <v>91.9</v>
      </c>
      <c r="U564" s="9" t="n">
        <v>9</v>
      </c>
      <c r="V564" s="3" t="s">
        <v>92</v>
      </c>
      <c r="W564" s="9" t="n">
        <v>0.75</v>
      </c>
      <c r="Z564" s="3" t="s">
        <v>1578</v>
      </c>
      <c r="AA564" s="3" t="s">
        <v>1814</v>
      </c>
      <c r="AB564" s="11" t="n">
        <v>46127</v>
      </c>
    </row>
    <row r="565" customFormat="false" ht="15" hidden="false" customHeight="false" outlineLevel="0" collapsed="false">
      <c r="A565" s="3" t="s">
        <v>1879</v>
      </c>
      <c r="B565" s="3" t="s">
        <v>378</v>
      </c>
      <c r="C565" s="3" t="s">
        <v>1668</v>
      </c>
      <c r="D565" s="3" t="s">
        <v>391</v>
      </c>
      <c r="E565" s="3" t="s">
        <v>1880</v>
      </c>
      <c r="F565" s="3" t="s">
        <v>1574</v>
      </c>
      <c r="G565" s="3" t="s">
        <v>1575</v>
      </c>
      <c r="H565" s="3" t="s">
        <v>1576</v>
      </c>
      <c r="I565" s="3" t="s">
        <v>1881</v>
      </c>
      <c r="M565" s="8" t="n">
        <v>579850</v>
      </c>
      <c r="P565" s="9" t="n">
        <v>76</v>
      </c>
      <c r="Q565" s="9" t="n">
        <v>3.2</v>
      </c>
      <c r="R565" s="9" t="n">
        <v>3</v>
      </c>
      <c r="S565" s="8" t="n">
        <v>562737</v>
      </c>
      <c r="T565" s="10" t="n">
        <v>76.6</v>
      </c>
      <c r="U565" s="9" t="n">
        <v>2</v>
      </c>
      <c r="V565" s="3" t="s">
        <v>92</v>
      </c>
      <c r="W565" s="9" t="n">
        <v>0.75</v>
      </c>
      <c r="Z565" s="3" t="s">
        <v>1578</v>
      </c>
      <c r="AA565" s="3" t="s">
        <v>1814</v>
      </c>
      <c r="AB565" s="11" t="n">
        <v>46127</v>
      </c>
    </row>
    <row r="566" customFormat="false" ht="15" hidden="false" customHeight="false" outlineLevel="0" collapsed="false">
      <c r="A566" s="3" t="s">
        <v>1882</v>
      </c>
      <c r="B566" s="3" t="s">
        <v>378</v>
      </c>
      <c r="C566" s="3" t="s">
        <v>1672</v>
      </c>
      <c r="D566" s="3" t="s">
        <v>379</v>
      </c>
      <c r="E566" s="3" t="s">
        <v>1883</v>
      </c>
      <c r="F566" s="3" t="s">
        <v>1574</v>
      </c>
      <c r="G566" s="3" t="s">
        <v>1575</v>
      </c>
      <c r="H566" s="3" t="s">
        <v>1576</v>
      </c>
      <c r="I566" s="3" t="s">
        <v>1884</v>
      </c>
      <c r="M566" s="8" t="n">
        <v>200452</v>
      </c>
      <c r="P566" s="9" t="n">
        <v>42</v>
      </c>
      <c r="Q566" s="9" t="n">
        <v>5.5</v>
      </c>
      <c r="R566" s="9" t="n">
        <v>1</v>
      </c>
      <c r="S566" s="8" t="n">
        <v>1006596</v>
      </c>
      <c r="T566" s="10" t="n">
        <v>72.3</v>
      </c>
      <c r="U566" s="9" t="n">
        <v>1</v>
      </c>
      <c r="V566" s="3" t="s">
        <v>83</v>
      </c>
      <c r="W566" s="9" t="n">
        <v>0.75</v>
      </c>
      <c r="Z566" s="3" t="s">
        <v>1578</v>
      </c>
      <c r="AA566" s="3" t="s">
        <v>1814</v>
      </c>
      <c r="AB566" s="11" t="n">
        <v>46127</v>
      </c>
    </row>
    <row r="567" customFormat="false" ht="15" hidden="false" customHeight="false" outlineLevel="0" collapsed="false">
      <c r="A567" s="3" t="s">
        <v>1885</v>
      </c>
      <c r="B567" s="3" t="s">
        <v>378</v>
      </c>
      <c r="C567" s="3" t="s">
        <v>1676</v>
      </c>
      <c r="D567" s="3" t="s">
        <v>379</v>
      </c>
      <c r="E567" s="3" t="s">
        <v>1886</v>
      </c>
      <c r="F567" s="3" t="s">
        <v>1574</v>
      </c>
      <c r="G567" s="3" t="s">
        <v>1575</v>
      </c>
      <c r="H567" s="3" t="s">
        <v>1576</v>
      </c>
      <c r="I567" s="3" t="s">
        <v>1887</v>
      </c>
      <c r="M567" s="8" t="n">
        <v>509508</v>
      </c>
      <c r="P567" s="9" t="n">
        <v>37</v>
      </c>
      <c r="Q567" s="9" t="n">
        <v>9.2</v>
      </c>
      <c r="R567" s="9" t="n">
        <v>1</v>
      </c>
      <c r="S567" s="8" t="n">
        <v>403014</v>
      </c>
      <c r="T567" s="10" t="n">
        <v>50.3</v>
      </c>
      <c r="U567" s="9" t="n">
        <v>3</v>
      </c>
      <c r="V567" s="3" t="s">
        <v>55</v>
      </c>
      <c r="W567" s="9" t="n">
        <v>0.75</v>
      </c>
      <c r="Z567" s="3" t="s">
        <v>1578</v>
      </c>
      <c r="AA567" s="3" t="s">
        <v>1814</v>
      </c>
      <c r="AB567" s="11" t="n">
        <v>46127</v>
      </c>
    </row>
    <row r="568" customFormat="false" ht="15" hidden="false" customHeight="false" outlineLevel="0" collapsed="false">
      <c r="A568" s="3" t="s">
        <v>1888</v>
      </c>
      <c r="B568" s="3" t="s">
        <v>378</v>
      </c>
      <c r="C568" s="3" t="s">
        <v>1680</v>
      </c>
      <c r="D568" s="3" t="s">
        <v>379</v>
      </c>
      <c r="E568" s="3" t="s">
        <v>1889</v>
      </c>
      <c r="F568" s="3" t="s">
        <v>1574</v>
      </c>
      <c r="G568" s="3" t="s">
        <v>1575</v>
      </c>
      <c r="H568" s="3" t="s">
        <v>1576</v>
      </c>
      <c r="I568" s="3" t="s">
        <v>1890</v>
      </c>
      <c r="M568" s="8" t="n">
        <v>639315</v>
      </c>
      <c r="P568" s="9" t="n">
        <v>45</v>
      </c>
      <c r="Q568" s="9" t="n">
        <v>2.2</v>
      </c>
      <c r="R568" s="9" t="n">
        <v>3</v>
      </c>
      <c r="S568" s="8" t="n">
        <v>224887</v>
      </c>
      <c r="T568" s="10" t="n">
        <v>68</v>
      </c>
      <c r="U568" s="9" t="n">
        <v>2</v>
      </c>
      <c r="V568" s="3" t="s">
        <v>62</v>
      </c>
      <c r="W568" s="9" t="n">
        <v>0.75</v>
      </c>
      <c r="Z568" s="3" t="s">
        <v>1578</v>
      </c>
      <c r="AA568" s="3" t="s">
        <v>1814</v>
      </c>
      <c r="AB568" s="11" t="n">
        <v>46127</v>
      </c>
    </row>
    <row r="569" customFormat="false" ht="15" hidden="false" customHeight="false" outlineLevel="0" collapsed="false">
      <c r="A569" s="3" t="s">
        <v>1891</v>
      </c>
      <c r="B569" s="3" t="s">
        <v>378</v>
      </c>
      <c r="C569" s="3" t="s">
        <v>1684</v>
      </c>
      <c r="D569" s="3" t="s">
        <v>379</v>
      </c>
      <c r="E569" s="3" t="s">
        <v>1892</v>
      </c>
      <c r="F569" s="3" t="s">
        <v>1574</v>
      </c>
      <c r="G569" s="3" t="s">
        <v>1575</v>
      </c>
      <c r="H569" s="3" t="s">
        <v>1576</v>
      </c>
      <c r="I569" s="3" t="s">
        <v>1893</v>
      </c>
      <c r="M569" s="8" t="n">
        <v>825122</v>
      </c>
      <c r="P569" s="9" t="n">
        <v>52</v>
      </c>
      <c r="Q569" s="9" t="n">
        <v>10.1</v>
      </c>
      <c r="R569" s="9" t="n">
        <v>1</v>
      </c>
      <c r="S569" s="8" t="n">
        <v>235220</v>
      </c>
      <c r="T569" s="10" t="n">
        <v>78.6</v>
      </c>
      <c r="U569" s="9" t="n">
        <v>8</v>
      </c>
      <c r="V569" s="3" t="s">
        <v>92</v>
      </c>
      <c r="W569" s="9" t="n">
        <v>0.75</v>
      </c>
      <c r="Z569" s="3" t="s">
        <v>1578</v>
      </c>
      <c r="AA569" s="3" t="s">
        <v>1814</v>
      </c>
      <c r="AB569" s="11" t="n">
        <v>46127</v>
      </c>
    </row>
    <row r="570" customFormat="false" ht="15" hidden="false" customHeight="false" outlineLevel="0" collapsed="false">
      <c r="A570" s="3" t="s">
        <v>1894</v>
      </c>
      <c r="B570" s="3" t="s">
        <v>378</v>
      </c>
      <c r="C570" s="3" t="s">
        <v>1688</v>
      </c>
      <c r="D570" s="3" t="s">
        <v>391</v>
      </c>
      <c r="E570" s="3" t="s">
        <v>1180</v>
      </c>
      <c r="F570" s="3" t="s">
        <v>1574</v>
      </c>
      <c r="G570" s="3" t="s">
        <v>1575</v>
      </c>
      <c r="H570" s="3" t="s">
        <v>1576</v>
      </c>
      <c r="I570" s="3" t="s">
        <v>1895</v>
      </c>
      <c r="M570" s="8" t="n">
        <v>59208</v>
      </c>
      <c r="P570" s="9" t="n">
        <v>36</v>
      </c>
      <c r="Q570" s="9" t="n">
        <v>27.4</v>
      </c>
      <c r="R570" s="9" t="n">
        <v>1</v>
      </c>
      <c r="S570" s="8" t="n">
        <v>616463</v>
      </c>
      <c r="T570" s="10" t="n">
        <v>29</v>
      </c>
      <c r="U570" s="9" t="n">
        <v>3</v>
      </c>
      <c r="V570" s="3" t="s">
        <v>83</v>
      </c>
      <c r="W570" s="9" t="n">
        <v>0.75</v>
      </c>
      <c r="Z570" s="3" t="s">
        <v>1578</v>
      </c>
      <c r="AA570" s="3" t="s">
        <v>1814</v>
      </c>
      <c r="AB570" s="11" t="n">
        <v>46127</v>
      </c>
    </row>
    <row r="571" customFormat="false" ht="15" hidden="false" customHeight="false" outlineLevel="0" collapsed="false">
      <c r="A571" s="3" t="s">
        <v>1896</v>
      </c>
      <c r="B571" s="3" t="s">
        <v>378</v>
      </c>
      <c r="C571" s="3" t="s">
        <v>1692</v>
      </c>
      <c r="D571" s="3" t="s">
        <v>384</v>
      </c>
      <c r="E571" s="3" t="s">
        <v>1897</v>
      </c>
      <c r="F571" s="3" t="s">
        <v>1574</v>
      </c>
      <c r="G571" s="3" t="s">
        <v>1575</v>
      </c>
      <c r="H571" s="3" t="s">
        <v>1576</v>
      </c>
      <c r="I571" s="3" t="s">
        <v>1898</v>
      </c>
      <c r="M571" s="8" t="n">
        <v>234236</v>
      </c>
      <c r="P571" s="9" t="n">
        <v>71</v>
      </c>
      <c r="Q571" s="9" t="n">
        <v>27.4</v>
      </c>
      <c r="R571" s="9" t="n">
        <v>1</v>
      </c>
      <c r="S571" s="8" t="n">
        <v>168199</v>
      </c>
      <c r="T571" s="10" t="n">
        <v>82.8</v>
      </c>
      <c r="U571" s="9" t="n">
        <v>7</v>
      </c>
      <c r="V571" s="3" t="s">
        <v>83</v>
      </c>
      <c r="W571" s="9" t="n">
        <v>0.75</v>
      </c>
      <c r="Z571" s="3" t="s">
        <v>1578</v>
      </c>
      <c r="AA571" s="3" t="s">
        <v>1814</v>
      </c>
      <c r="AB571" s="11" t="n">
        <v>46127</v>
      </c>
    </row>
    <row r="572" customFormat="false" ht="15" hidden="false" customHeight="false" outlineLevel="0" collapsed="false">
      <c r="A572" s="3" t="s">
        <v>1899</v>
      </c>
      <c r="B572" s="3" t="s">
        <v>378</v>
      </c>
      <c r="C572" s="3" t="s">
        <v>1695</v>
      </c>
      <c r="D572" s="3" t="s">
        <v>379</v>
      </c>
      <c r="E572" s="3" t="s">
        <v>703</v>
      </c>
      <c r="F572" s="3" t="s">
        <v>1574</v>
      </c>
      <c r="G572" s="3" t="s">
        <v>1575</v>
      </c>
      <c r="H572" s="3" t="s">
        <v>1576</v>
      </c>
      <c r="I572" s="3" t="s">
        <v>1900</v>
      </c>
      <c r="M572" s="8" t="n">
        <v>254305</v>
      </c>
      <c r="P572" s="9" t="n">
        <v>43</v>
      </c>
      <c r="Q572" s="9" t="n">
        <v>28.5</v>
      </c>
      <c r="R572" s="9" t="n">
        <v>1</v>
      </c>
      <c r="S572" s="8" t="n">
        <v>945794</v>
      </c>
      <c r="T572" s="10" t="n">
        <v>83.4</v>
      </c>
      <c r="U572" s="9" t="n">
        <v>2</v>
      </c>
      <c r="V572" s="3" t="s">
        <v>83</v>
      </c>
      <c r="W572" s="9" t="n">
        <v>0.75</v>
      </c>
      <c r="Z572" s="3" t="s">
        <v>1578</v>
      </c>
      <c r="AA572" s="3" t="s">
        <v>1814</v>
      </c>
      <c r="AB572" s="11" t="n">
        <v>46127</v>
      </c>
    </row>
    <row r="573" customFormat="false" ht="15" hidden="false" customHeight="false" outlineLevel="0" collapsed="false">
      <c r="A573" s="3" t="s">
        <v>1901</v>
      </c>
      <c r="B573" s="3" t="s">
        <v>378</v>
      </c>
      <c r="C573" s="3" t="s">
        <v>1699</v>
      </c>
      <c r="D573" s="3" t="s">
        <v>391</v>
      </c>
      <c r="E573" s="3" t="s">
        <v>1902</v>
      </c>
      <c r="F573" s="3" t="s">
        <v>1574</v>
      </c>
      <c r="G573" s="3" t="s">
        <v>1575</v>
      </c>
      <c r="H573" s="3" t="s">
        <v>1576</v>
      </c>
      <c r="I573" s="3" t="s">
        <v>1903</v>
      </c>
      <c r="M573" s="8" t="n">
        <v>306035</v>
      </c>
      <c r="P573" s="9" t="n">
        <v>68</v>
      </c>
      <c r="Q573" s="9" t="n">
        <v>12.7</v>
      </c>
      <c r="R573" s="9" t="n">
        <v>1</v>
      </c>
      <c r="S573" s="8" t="n">
        <v>860728</v>
      </c>
      <c r="T573" s="10" t="n">
        <v>16.6</v>
      </c>
      <c r="U573" s="9" t="n">
        <v>10</v>
      </c>
      <c r="V573" s="3" t="s">
        <v>83</v>
      </c>
      <c r="W573" s="9" t="n">
        <v>0.75</v>
      </c>
      <c r="Z573" s="3" t="s">
        <v>1578</v>
      </c>
      <c r="AA573" s="3" t="s">
        <v>1814</v>
      </c>
      <c r="AB573" s="11" t="n">
        <v>46127</v>
      </c>
    </row>
    <row r="574" customFormat="false" ht="15" hidden="false" customHeight="false" outlineLevel="0" collapsed="false">
      <c r="A574" s="3" t="s">
        <v>1904</v>
      </c>
      <c r="B574" s="3" t="s">
        <v>378</v>
      </c>
      <c r="C574" s="3" t="s">
        <v>1703</v>
      </c>
      <c r="D574" s="3" t="s">
        <v>379</v>
      </c>
      <c r="E574" s="3" t="s">
        <v>1905</v>
      </c>
      <c r="F574" s="3" t="s">
        <v>1574</v>
      </c>
      <c r="G574" s="3" t="s">
        <v>1575</v>
      </c>
      <c r="H574" s="3" t="s">
        <v>1576</v>
      </c>
      <c r="I574" s="3" t="s">
        <v>1906</v>
      </c>
      <c r="M574" s="8" t="n">
        <v>486080</v>
      </c>
      <c r="P574" s="9" t="n">
        <v>36</v>
      </c>
      <c r="Q574" s="9" t="n">
        <v>2.5</v>
      </c>
      <c r="R574" s="9" t="n">
        <v>1</v>
      </c>
      <c r="S574" s="8" t="n">
        <v>119352</v>
      </c>
      <c r="T574" s="10" t="n">
        <v>26.1</v>
      </c>
      <c r="U574" s="9" t="n">
        <v>4</v>
      </c>
      <c r="V574" s="3" t="s">
        <v>92</v>
      </c>
      <c r="W574" s="9" t="n">
        <v>0.75</v>
      </c>
      <c r="Z574" s="3" t="s">
        <v>1578</v>
      </c>
      <c r="AA574" s="3" t="s">
        <v>1814</v>
      </c>
      <c r="AB574" s="11" t="n">
        <v>46127</v>
      </c>
    </row>
    <row r="575" customFormat="false" ht="15" hidden="false" customHeight="false" outlineLevel="0" collapsed="false">
      <c r="A575" s="3" t="s">
        <v>1907</v>
      </c>
      <c r="B575" s="3" t="s">
        <v>378</v>
      </c>
      <c r="C575" s="3" t="s">
        <v>1707</v>
      </c>
      <c r="D575" s="3" t="s">
        <v>384</v>
      </c>
      <c r="E575" s="3" t="s">
        <v>1908</v>
      </c>
      <c r="F575" s="3" t="s">
        <v>1574</v>
      </c>
      <c r="G575" s="3" t="s">
        <v>1575</v>
      </c>
      <c r="H575" s="3" t="s">
        <v>1576</v>
      </c>
      <c r="I575" s="3" t="s">
        <v>1909</v>
      </c>
      <c r="M575" s="8" t="n">
        <v>984354</v>
      </c>
      <c r="P575" s="9" t="n">
        <v>37</v>
      </c>
      <c r="Q575" s="9" t="n">
        <v>18.6</v>
      </c>
      <c r="R575" s="9" t="n">
        <v>1</v>
      </c>
      <c r="S575" s="8" t="n">
        <v>600983</v>
      </c>
      <c r="T575" s="10" t="n">
        <v>91.4</v>
      </c>
      <c r="U575" s="9" t="n">
        <v>9</v>
      </c>
      <c r="V575" s="3" t="s">
        <v>83</v>
      </c>
      <c r="W575" s="9" t="n">
        <v>0.75</v>
      </c>
      <c r="Z575" s="3" t="s">
        <v>1578</v>
      </c>
      <c r="AA575" s="3" t="s">
        <v>1814</v>
      </c>
      <c r="AB575" s="11" t="n">
        <v>46127</v>
      </c>
    </row>
    <row r="576" customFormat="false" ht="15" hidden="false" customHeight="false" outlineLevel="0" collapsed="false">
      <c r="A576" s="3" t="s">
        <v>1910</v>
      </c>
      <c r="B576" s="3" t="s">
        <v>378</v>
      </c>
      <c r="C576" s="3" t="s">
        <v>1711</v>
      </c>
      <c r="D576" s="3" t="s">
        <v>384</v>
      </c>
      <c r="E576" s="3" t="s">
        <v>1911</v>
      </c>
      <c r="F576" s="3" t="s">
        <v>1574</v>
      </c>
      <c r="G576" s="3" t="s">
        <v>1575</v>
      </c>
      <c r="H576" s="3" t="s">
        <v>1576</v>
      </c>
      <c r="I576" s="3" t="s">
        <v>1912</v>
      </c>
      <c r="M576" s="8" t="n">
        <v>299973</v>
      </c>
      <c r="P576" s="9" t="n">
        <v>71</v>
      </c>
      <c r="Q576" s="9" t="n">
        <v>4.7</v>
      </c>
      <c r="R576" s="9" t="n">
        <v>1</v>
      </c>
      <c r="S576" s="8" t="n">
        <v>668839</v>
      </c>
      <c r="T576" s="10" t="n">
        <v>78</v>
      </c>
      <c r="U576" s="9" t="n">
        <v>9</v>
      </c>
      <c r="V576" s="3" t="s">
        <v>92</v>
      </c>
      <c r="W576" s="9" t="n">
        <v>0.75</v>
      </c>
      <c r="Z576" s="3" t="s">
        <v>1578</v>
      </c>
      <c r="AA576" s="3" t="s">
        <v>1814</v>
      </c>
      <c r="AB576" s="11" t="n">
        <v>46127</v>
      </c>
    </row>
    <row r="577" customFormat="false" ht="15" hidden="false" customHeight="false" outlineLevel="0" collapsed="false">
      <c r="A577" s="3" t="s">
        <v>1913</v>
      </c>
      <c r="B577" s="3" t="s">
        <v>378</v>
      </c>
      <c r="C577" s="3" t="s">
        <v>1715</v>
      </c>
      <c r="D577" s="3" t="s">
        <v>391</v>
      </c>
      <c r="E577" s="3" t="s">
        <v>1914</v>
      </c>
      <c r="F577" s="3" t="s">
        <v>1574</v>
      </c>
      <c r="G577" s="3" t="s">
        <v>1575</v>
      </c>
      <c r="H577" s="3" t="s">
        <v>1576</v>
      </c>
      <c r="I577" s="3" t="s">
        <v>1915</v>
      </c>
      <c r="M577" s="8" t="n">
        <v>564983</v>
      </c>
      <c r="P577" s="9" t="n">
        <v>36</v>
      </c>
      <c r="Q577" s="9" t="n">
        <v>28.2</v>
      </c>
      <c r="R577" s="9" t="n">
        <v>1</v>
      </c>
      <c r="S577" s="8" t="n">
        <v>306461</v>
      </c>
      <c r="T577" s="10" t="n">
        <v>75.3</v>
      </c>
      <c r="U577" s="9" t="n">
        <v>7</v>
      </c>
      <c r="V577" s="3" t="s">
        <v>92</v>
      </c>
      <c r="W577" s="9" t="n">
        <v>0.75</v>
      </c>
      <c r="Z577" s="3" t="s">
        <v>1578</v>
      </c>
      <c r="AA577" s="3" t="s">
        <v>1814</v>
      </c>
      <c r="AB577" s="11" t="n">
        <v>46127</v>
      </c>
    </row>
    <row r="578" customFormat="false" ht="15" hidden="false" customHeight="false" outlineLevel="0" collapsed="false">
      <c r="A578" s="3" t="s">
        <v>1916</v>
      </c>
      <c r="B578" s="3" t="s">
        <v>378</v>
      </c>
      <c r="C578" s="3" t="s">
        <v>1719</v>
      </c>
      <c r="D578" s="3" t="s">
        <v>379</v>
      </c>
      <c r="E578" s="3" t="s">
        <v>1917</v>
      </c>
      <c r="F578" s="3" t="s">
        <v>1574</v>
      </c>
      <c r="G578" s="3" t="s">
        <v>1575</v>
      </c>
      <c r="H578" s="3" t="s">
        <v>1576</v>
      </c>
      <c r="I578" s="3" t="s">
        <v>1918</v>
      </c>
      <c r="M578" s="8" t="n">
        <v>491415</v>
      </c>
      <c r="P578" s="9" t="n">
        <v>40</v>
      </c>
      <c r="Q578" s="9" t="n">
        <v>19.6</v>
      </c>
      <c r="R578" s="9" t="n">
        <v>1</v>
      </c>
      <c r="S578" s="8" t="n">
        <v>290934</v>
      </c>
      <c r="T578" s="10" t="n">
        <v>22.8</v>
      </c>
      <c r="U578" s="9" t="n">
        <v>6</v>
      </c>
      <c r="V578" s="3" t="s">
        <v>62</v>
      </c>
      <c r="W578" s="9" t="n">
        <v>0.75</v>
      </c>
      <c r="Z578" s="3" t="s">
        <v>1578</v>
      </c>
      <c r="AA578" s="3" t="s">
        <v>1814</v>
      </c>
      <c r="AB578" s="11" t="n">
        <v>46127</v>
      </c>
    </row>
    <row r="579" customFormat="false" ht="15" hidden="false" customHeight="false" outlineLevel="0" collapsed="false">
      <c r="A579" s="3" t="s">
        <v>1919</v>
      </c>
      <c r="B579" s="3" t="s">
        <v>378</v>
      </c>
      <c r="C579" s="3" t="s">
        <v>1723</v>
      </c>
      <c r="D579" s="3" t="s">
        <v>384</v>
      </c>
      <c r="E579" s="3" t="s">
        <v>1920</v>
      </c>
      <c r="F579" s="3" t="s">
        <v>1574</v>
      </c>
      <c r="G579" s="3" t="s">
        <v>1575</v>
      </c>
      <c r="H579" s="3" t="s">
        <v>1576</v>
      </c>
      <c r="I579" s="3" t="s">
        <v>1921</v>
      </c>
      <c r="M579" s="8" t="n">
        <v>323197</v>
      </c>
      <c r="P579" s="9" t="n">
        <v>72</v>
      </c>
      <c r="Q579" s="9" t="n">
        <v>15.9</v>
      </c>
      <c r="R579" s="9" t="n">
        <v>1</v>
      </c>
      <c r="S579" s="8" t="n">
        <v>238159</v>
      </c>
      <c r="T579" s="10" t="n">
        <v>84.6</v>
      </c>
      <c r="U579" s="9" t="n">
        <v>8</v>
      </c>
      <c r="V579" s="3" t="s">
        <v>92</v>
      </c>
      <c r="W579" s="9" t="n">
        <v>0.75</v>
      </c>
      <c r="Z579" s="3" t="s">
        <v>1578</v>
      </c>
      <c r="AA579" s="3" t="s">
        <v>1814</v>
      </c>
      <c r="AB579" s="11" t="n">
        <v>46127</v>
      </c>
    </row>
    <row r="580" customFormat="false" ht="15" hidden="false" customHeight="false" outlineLevel="0" collapsed="false">
      <c r="A580" s="3" t="s">
        <v>1922</v>
      </c>
      <c r="B580" s="3" t="s">
        <v>378</v>
      </c>
      <c r="C580" s="3" t="s">
        <v>1727</v>
      </c>
      <c r="D580" s="3" t="s">
        <v>379</v>
      </c>
      <c r="E580" s="3" t="s">
        <v>1923</v>
      </c>
      <c r="F580" s="3" t="s">
        <v>1574</v>
      </c>
      <c r="G580" s="3" t="s">
        <v>1575</v>
      </c>
      <c r="H580" s="3" t="s">
        <v>1576</v>
      </c>
      <c r="I580" s="3" t="s">
        <v>1924</v>
      </c>
      <c r="M580" s="8" t="n">
        <v>203820</v>
      </c>
      <c r="P580" s="9" t="n">
        <v>42</v>
      </c>
      <c r="Q580" s="9" t="n">
        <v>14</v>
      </c>
      <c r="R580" s="9" t="n">
        <v>1</v>
      </c>
      <c r="S580" s="8" t="n">
        <v>680484</v>
      </c>
      <c r="T580" s="10" t="n">
        <v>83.6</v>
      </c>
      <c r="U580" s="9" t="n">
        <v>10</v>
      </c>
      <c r="V580" s="3" t="s">
        <v>55</v>
      </c>
      <c r="W580" s="9" t="n">
        <v>0.75</v>
      </c>
      <c r="Z580" s="3" t="s">
        <v>1578</v>
      </c>
      <c r="AA580" s="3" t="s">
        <v>1814</v>
      </c>
      <c r="AB580" s="11" t="n">
        <v>46127</v>
      </c>
    </row>
    <row r="581" customFormat="false" ht="15" hidden="false" customHeight="false" outlineLevel="0" collapsed="false">
      <c r="A581" s="3" t="s">
        <v>1925</v>
      </c>
      <c r="B581" s="3" t="s">
        <v>378</v>
      </c>
      <c r="C581" s="3" t="s">
        <v>1731</v>
      </c>
      <c r="D581" s="3" t="s">
        <v>379</v>
      </c>
      <c r="E581" s="3" t="s">
        <v>746</v>
      </c>
      <c r="F581" s="3" t="s">
        <v>1574</v>
      </c>
      <c r="G581" s="3" t="s">
        <v>1575</v>
      </c>
      <c r="H581" s="3" t="s">
        <v>1576</v>
      </c>
      <c r="I581" s="3" t="s">
        <v>1926</v>
      </c>
      <c r="M581" s="8" t="n">
        <v>324898</v>
      </c>
      <c r="P581" s="9" t="n">
        <v>44</v>
      </c>
      <c r="Q581" s="9" t="n">
        <v>27.4</v>
      </c>
      <c r="R581" s="9" t="n">
        <v>1</v>
      </c>
      <c r="S581" s="8" t="n">
        <v>272408</v>
      </c>
      <c r="T581" s="10" t="n">
        <v>85</v>
      </c>
      <c r="U581" s="9" t="n">
        <v>5</v>
      </c>
      <c r="V581" s="3" t="s">
        <v>55</v>
      </c>
      <c r="W581" s="9" t="n">
        <v>0.75</v>
      </c>
      <c r="Z581" s="3" t="s">
        <v>1578</v>
      </c>
      <c r="AA581" s="3" t="s">
        <v>1814</v>
      </c>
      <c r="AB581" s="11" t="n">
        <v>46127</v>
      </c>
    </row>
    <row r="582" customFormat="false" ht="15" hidden="false" customHeight="false" outlineLevel="0" collapsed="false">
      <c r="A582" s="3" t="s">
        <v>1927</v>
      </c>
      <c r="B582" s="3" t="s">
        <v>378</v>
      </c>
      <c r="C582" s="3" t="s">
        <v>1735</v>
      </c>
      <c r="D582" s="3" t="s">
        <v>384</v>
      </c>
      <c r="E582" s="3" t="s">
        <v>1928</v>
      </c>
      <c r="F582" s="3" t="s">
        <v>1574</v>
      </c>
      <c r="G582" s="3" t="s">
        <v>1575</v>
      </c>
      <c r="H582" s="3" t="s">
        <v>1576</v>
      </c>
      <c r="I582" s="3" t="s">
        <v>1929</v>
      </c>
      <c r="M582" s="8" t="n">
        <v>919736</v>
      </c>
      <c r="P582" s="9" t="n">
        <v>51</v>
      </c>
      <c r="Q582" s="9" t="n">
        <v>19.7</v>
      </c>
      <c r="R582" s="9" t="n">
        <v>2</v>
      </c>
      <c r="S582" s="8" t="n">
        <v>1171630</v>
      </c>
      <c r="T582" s="10" t="n">
        <v>92.6</v>
      </c>
      <c r="U582" s="9" t="n">
        <v>3</v>
      </c>
      <c r="V582" s="3" t="s">
        <v>83</v>
      </c>
      <c r="W582" s="9" t="n">
        <v>0.75</v>
      </c>
      <c r="Z582" s="3" t="s">
        <v>1578</v>
      </c>
      <c r="AA582" s="3" t="s">
        <v>1814</v>
      </c>
      <c r="AB582" s="11" t="n">
        <v>46127</v>
      </c>
    </row>
    <row r="583" customFormat="false" ht="15" hidden="false" customHeight="false" outlineLevel="0" collapsed="false">
      <c r="A583" s="3" t="s">
        <v>1930</v>
      </c>
      <c r="B583" s="3" t="s">
        <v>378</v>
      </c>
      <c r="C583" s="3" t="s">
        <v>1739</v>
      </c>
      <c r="D583" s="3" t="s">
        <v>384</v>
      </c>
      <c r="E583" s="3" t="s">
        <v>1931</v>
      </c>
      <c r="F583" s="3" t="s">
        <v>1574</v>
      </c>
      <c r="G583" s="3" t="s">
        <v>1575</v>
      </c>
      <c r="H583" s="3" t="s">
        <v>1576</v>
      </c>
      <c r="I583" s="3" t="s">
        <v>1932</v>
      </c>
      <c r="M583" s="8" t="n">
        <v>216046</v>
      </c>
      <c r="P583" s="9" t="n">
        <v>45</v>
      </c>
      <c r="Q583" s="9" t="n">
        <v>14.4</v>
      </c>
      <c r="R583" s="9" t="n">
        <v>1</v>
      </c>
      <c r="S583" s="8" t="n">
        <v>284471</v>
      </c>
      <c r="T583" s="10" t="n">
        <v>58</v>
      </c>
      <c r="U583" s="9" t="n">
        <v>8</v>
      </c>
      <c r="V583" s="3" t="s">
        <v>83</v>
      </c>
      <c r="W583" s="9" t="n">
        <v>0.75</v>
      </c>
      <c r="Z583" s="3" t="s">
        <v>1578</v>
      </c>
      <c r="AA583" s="3" t="s">
        <v>1814</v>
      </c>
      <c r="AB583" s="11" t="n">
        <v>46127</v>
      </c>
    </row>
    <row r="584" customFormat="false" ht="15" hidden="false" customHeight="false" outlineLevel="0" collapsed="false">
      <c r="A584" s="3" t="s">
        <v>1933</v>
      </c>
      <c r="B584" s="3" t="s">
        <v>378</v>
      </c>
      <c r="C584" s="3" t="s">
        <v>1743</v>
      </c>
      <c r="D584" s="3" t="s">
        <v>379</v>
      </c>
      <c r="E584" s="3" t="s">
        <v>1934</v>
      </c>
      <c r="F584" s="3" t="s">
        <v>1574</v>
      </c>
      <c r="G584" s="3" t="s">
        <v>1575</v>
      </c>
      <c r="H584" s="3" t="s">
        <v>1576</v>
      </c>
      <c r="I584" s="3" t="s">
        <v>1935</v>
      </c>
      <c r="M584" s="8" t="n">
        <v>364084</v>
      </c>
      <c r="P584" s="9" t="n">
        <v>75</v>
      </c>
      <c r="Q584" s="9" t="n">
        <v>7.6</v>
      </c>
      <c r="R584" s="9" t="n">
        <v>1</v>
      </c>
      <c r="S584" s="8" t="n">
        <v>329509</v>
      </c>
      <c r="T584" s="10" t="n">
        <v>88.6</v>
      </c>
      <c r="U584" s="9" t="n">
        <v>7</v>
      </c>
      <c r="V584" s="3" t="s">
        <v>83</v>
      </c>
      <c r="W584" s="9" t="n">
        <v>0.75</v>
      </c>
      <c r="Z584" s="3" t="s">
        <v>1578</v>
      </c>
      <c r="AA584" s="3" t="s">
        <v>1814</v>
      </c>
      <c r="AB584" s="11" t="n">
        <v>46127</v>
      </c>
    </row>
    <row r="585" customFormat="false" ht="15" hidden="false" customHeight="false" outlineLevel="0" collapsed="false">
      <c r="A585" s="3" t="s">
        <v>1936</v>
      </c>
      <c r="B585" s="3" t="s">
        <v>378</v>
      </c>
      <c r="C585" s="3" t="s">
        <v>1747</v>
      </c>
      <c r="D585" s="3" t="s">
        <v>391</v>
      </c>
      <c r="E585" s="3" t="s">
        <v>1937</v>
      </c>
      <c r="F585" s="3" t="s">
        <v>1574</v>
      </c>
      <c r="G585" s="3" t="s">
        <v>1575</v>
      </c>
      <c r="H585" s="3" t="s">
        <v>1576</v>
      </c>
      <c r="I585" s="3" t="s">
        <v>1938</v>
      </c>
      <c r="M585" s="8" t="n">
        <v>298675</v>
      </c>
      <c r="P585" s="9" t="n">
        <v>64</v>
      </c>
      <c r="Q585" s="9" t="n">
        <v>27.4</v>
      </c>
      <c r="R585" s="9" t="n">
        <v>1</v>
      </c>
      <c r="S585" s="8" t="n">
        <v>343013</v>
      </c>
      <c r="T585" s="10" t="n">
        <v>86.1</v>
      </c>
      <c r="U585" s="9" t="n">
        <v>7</v>
      </c>
      <c r="V585" s="3" t="s">
        <v>83</v>
      </c>
      <c r="W585" s="9" t="n">
        <v>0.75</v>
      </c>
      <c r="Z585" s="3" t="s">
        <v>1578</v>
      </c>
      <c r="AA585" s="3" t="s">
        <v>1814</v>
      </c>
      <c r="AB585" s="11" t="n">
        <v>46127</v>
      </c>
    </row>
    <row r="586" customFormat="false" ht="15" hidden="false" customHeight="false" outlineLevel="0" collapsed="false">
      <c r="A586" s="3" t="s">
        <v>1939</v>
      </c>
      <c r="B586" s="3" t="s">
        <v>378</v>
      </c>
      <c r="C586" s="3" t="s">
        <v>1751</v>
      </c>
      <c r="D586" s="3" t="s">
        <v>384</v>
      </c>
      <c r="E586" s="3" t="s">
        <v>1940</v>
      </c>
      <c r="F586" s="3" t="s">
        <v>1574</v>
      </c>
      <c r="G586" s="3" t="s">
        <v>1575</v>
      </c>
      <c r="H586" s="3" t="s">
        <v>1576</v>
      </c>
      <c r="I586" s="3" t="s">
        <v>1941</v>
      </c>
      <c r="M586" s="8" t="n">
        <v>463886</v>
      </c>
      <c r="P586" s="9" t="n">
        <v>57</v>
      </c>
      <c r="Q586" s="9" t="n">
        <v>27.7</v>
      </c>
      <c r="R586" s="9" t="n">
        <v>1</v>
      </c>
      <c r="S586" s="8" t="n">
        <v>719079</v>
      </c>
      <c r="T586" s="10" t="n">
        <v>51</v>
      </c>
      <c r="U586" s="9" t="n">
        <v>10</v>
      </c>
      <c r="V586" s="3" t="s">
        <v>83</v>
      </c>
      <c r="W586" s="9" t="n">
        <v>0.75</v>
      </c>
      <c r="Z586" s="3" t="s">
        <v>1578</v>
      </c>
      <c r="AA586" s="3" t="s">
        <v>1814</v>
      </c>
      <c r="AB586" s="11" t="n">
        <v>46127</v>
      </c>
    </row>
    <row r="587" customFormat="false" ht="15" hidden="false" customHeight="false" outlineLevel="0" collapsed="false">
      <c r="A587" s="3" t="s">
        <v>1942</v>
      </c>
      <c r="B587" s="3" t="s">
        <v>378</v>
      </c>
      <c r="C587" s="3" t="s">
        <v>1755</v>
      </c>
      <c r="D587" s="3" t="s">
        <v>379</v>
      </c>
      <c r="E587" s="3" t="s">
        <v>1943</v>
      </c>
      <c r="F587" s="3" t="s">
        <v>1574</v>
      </c>
      <c r="G587" s="3" t="s">
        <v>1575</v>
      </c>
      <c r="H587" s="3" t="s">
        <v>1576</v>
      </c>
      <c r="I587" s="3" t="s">
        <v>1944</v>
      </c>
      <c r="M587" s="8" t="n">
        <v>804706</v>
      </c>
      <c r="P587" s="9" t="n">
        <v>43</v>
      </c>
      <c r="Q587" s="9" t="n">
        <v>5.2</v>
      </c>
      <c r="R587" s="9" t="n">
        <v>1</v>
      </c>
      <c r="S587" s="8" t="n">
        <v>198149</v>
      </c>
      <c r="T587" s="10" t="n">
        <v>55</v>
      </c>
      <c r="U587" s="9" t="n">
        <v>7</v>
      </c>
      <c r="V587" s="3" t="s">
        <v>83</v>
      </c>
      <c r="W587" s="9" t="n">
        <v>0.75</v>
      </c>
      <c r="Z587" s="3" t="s">
        <v>1578</v>
      </c>
      <c r="AA587" s="3" t="s">
        <v>1814</v>
      </c>
      <c r="AB587" s="11" t="n">
        <v>46127</v>
      </c>
    </row>
    <row r="588" customFormat="false" ht="15" hidden="false" customHeight="false" outlineLevel="0" collapsed="false">
      <c r="A588" s="3" t="s">
        <v>1945</v>
      </c>
      <c r="B588" s="3" t="s">
        <v>378</v>
      </c>
      <c r="C588" s="3" t="s">
        <v>1759</v>
      </c>
      <c r="D588" s="3" t="s">
        <v>391</v>
      </c>
      <c r="E588" s="3" t="s">
        <v>1946</v>
      </c>
      <c r="F588" s="3" t="s">
        <v>1574</v>
      </c>
      <c r="G588" s="3" t="s">
        <v>1575</v>
      </c>
      <c r="H588" s="3" t="s">
        <v>1576</v>
      </c>
      <c r="I588" s="3" t="s">
        <v>1947</v>
      </c>
      <c r="M588" s="8" t="n">
        <v>218028</v>
      </c>
      <c r="P588" s="9" t="n">
        <v>67</v>
      </c>
      <c r="Q588" s="9" t="n">
        <v>25.9</v>
      </c>
      <c r="R588" s="9" t="n">
        <v>1</v>
      </c>
      <c r="S588" s="8" t="n">
        <v>2042174</v>
      </c>
      <c r="T588" s="10" t="n">
        <v>94.9</v>
      </c>
      <c r="U588" s="9" t="n">
        <v>10</v>
      </c>
      <c r="V588" s="3" t="s">
        <v>55</v>
      </c>
      <c r="W588" s="9" t="n">
        <v>0.75</v>
      </c>
      <c r="Z588" s="3" t="s">
        <v>1578</v>
      </c>
      <c r="AA588" s="3" t="s">
        <v>1814</v>
      </c>
      <c r="AB588" s="11" t="n">
        <v>46127</v>
      </c>
    </row>
    <row r="589" customFormat="false" ht="15" hidden="false" customHeight="false" outlineLevel="0" collapsed="false">
      <c r="A589" s="3" t="s">
        <v>1948</v>
      </c>
      <c r="B589" s="3" t="s">
        <v>378</v>
      </c>
      <c r="C589" s="3" t="s">
        <v>1762</v>
      </c>
      <c r="D589" s="3" t="s">
        <v>379</v>
      </c>
      <c r="E589" s="3" t="s">
        <v>1949</v>
      </c>
      <c r="F589" s="3" t="s">
        <v>1574</v>
      </c>
      <c r="G589" s="3" t="s">
        <v>1575</v>
      </c>
      <c r="H589" s="3" t="s">
        <v>1576</v>
      </c>
      <c r="I589" s="3" t="s">
        <v>1950</v>
      </c>
      <c r="M589" s="8" t="n">
        <v>214373</v>
      </c>
      <c r="P589" s="9" t="n">
        <v>67</v>
      </c>
      <c r="Q589" s="9" t="n">
        <v>23.2</v>
      </c>
      <c r="R589" s="9" t="n">
        <v>1</v>
      </c>
      <c r="S589" s="8" t="n">
        <v>1270803</v>
      </c>
      <c r="T589" s="10" t="n">
        <v>71.9</v>
      </c>
      <c r="U589" s="9" t="n">
        <v>8</v>
      </c>
      <c r="V589" s="3" t="s">
        <v>55</v>
      </c>
      <c r="W589" s="9" t="n">
        <v>0.75</v>
      </c>
      <c r="Z589" s="3" t="s">
        <v>1578</v>
      </c>
      <c r="AA589" s="3" t="s">
        <v>1814</v>
      </c>
      <c r="AB589" s="11" t="n">
        <v>46127</v>
      </c>
    </row>
    <row r="590" customFormat="false" ht="15" hidden="false" customHeight="false" outlineLevel="0" collapsed="false">
      <c r="A590" s="3" t="s">
        <v>1951</v>
      </c>
      <c r="B590" s="3" t="s">
        <v>378</v>
      </c>
      <c r="C590" s="3" t="s">
        <v>1766</v>
      </c>
      <c r="D590" s="3" t="s">
        <v>384</v>
      </c>
      <c r="E590" s="3" t="s">
        <v>1952</v>
      </c>
      <c r="F590" s="3" t="s">
        <v>1574</v>
      </c>
      <c r="G590" s="3" t="s">
        <v>1575</v>
      </c>
      <c r="H590" s="3" t="s">
        <v>1576</v>
      </c>
      <c r="I590" s="3" t="s">
        <v>538</v>
      </c>
      <c r="M590" s="8" t="n">
        <v>1104833</v>
      </c>
      <c r="P590" s="9" t="n">
        <v>44</v>
      </c>
      <c r="Q590" s="9" t="n">
        <v>5.4</v>
      </c>
      <c r="R590" s="9" t="n">
        <v>1</v>
      </c>
      <c r="S590" s="8" t="n">
        <v>1293979</v>
      </c>
      <c r="T590" s="10" t="n">
        <v>43.3</v>
      </c>
      <c r="U590" s="9" t="n">
        <v>2</v>
      </c>
      <c r="V590" s="3" t="s">
        <v>83</v>
      </c>
      <c r="W590" s="9" t="n">
        <v>0.75</v>
      </c>
      <c r="Z590" s="3" t="s">
        <v>1578</v>
      </c>
      <c r="AA590" s="3" t="s">
        <v>1814</v>
      </c>
      <c r="AB590" s="11" t="n">
        <v>46127</v>
      </c>
    </row>
    <row r="591" customFormat="false" ht="15" hidden="false" customHeight="false" outlineLevel="0" collapsed="false">
      <c r="A591" s="3" t="s">
        <v>1953</v>
      </c>
      <c r="B591" s="3" t="s">
        <v>378</v>
      </c>
      <c r="C591" s="3" t="s">
        <v>1770</v>
      </c>
      <c r="D591" s="3" t="s">
        <v>391</v>
      </c>
      <c r="E591" s="3" t="s">
        <v>1954</v>
      </c>
      <c r="F591" s="3" t="s">
        <v>1574</v>
      </c>
      <c r="G591" s="3" t="s">
        <v>1575</v>
      </c>
      <c r="H591" s="3" t="s">
        <v>1576</v>
      </c>
      <c r="I591" s="3" t="s">
        <v>1955</v>
      </c>
      <c r="M591" s="8" t="n">
        <v>475141</v>
      </c>
      <c r="P591" s="9" t="n">
        <v>37</v>
      </c>
      <c r="Q591" s="9" t="n">
        <v>4.1</v>
      </c>
      <c r="R591" s="9" t="n">
        <v>1</v>
      </c>
      <c r="S591" s="8" t="n">
        <v>207755</v>
      </c>
      <c r="T591" s="10" t="n">
        <v>49.4</v>
      </c>
      <c r="U591" s="9" t="n">
        <v>2</v>
      </c>
      <c r="V591" s="3" t="s">
        <v>92</v>
      </c>
      <c r="W591" s="9" t="n">
        <v>0.75</v>
      </c>
      <c r="Z591" s="3" t="s">
        <v>1578</v>
      </c>
      <c r="AA591" s="3" t="s">
        <v>1814</v>
      </c>
      <c r="AB591" s="11" t="n">
        <v>46127</v>
      </c>
    </row>
    <row r="592" customFormat="false" ht="15" hidden="false" customHeight="false" outlineLevel="0" collapsed="false">
      <c r="A592" s="3" t="s">
        <v>1956</v>
      </c>
      <c r="B592" s="3" t="s">
        <v>378</v>
      </c>
      <c r="C592" s="3" t="s">
        <v>1774</v>
      </c>
      <c r="D592" s="3" t="s">
        <v>391</v>
      </c>
      <c r="E592" s="3" t="s">
        <v>1957</v>
      </c>
      <c r="F592" s="3" t="s">
        <v>1574</v>
      </c>
      <c r="G592" s="3" t="s">
        <v>1575</v>
      </c>
      <c r="H592" s="3" t="s">
        <v>1576</v>
      </c>
      <c r="I592" s="3" t="s">
        <v>1958</v>
      </c>
      <c r="M592" s="8" t="n">
        <v>509522</v>
      </c>
      <c r="P592" s="9" t="n">
        <v>39</v>
      </c>
      <c r="Q592" s="9" t="n">
        <v>18.9</v>
      </c>
      <c r="R592" s="9" t="n">
        <v>2</v>
      </c>
      <c r="S592" s="8" t="n">
        <v>336501</v>
      </c>
      <c r="T592" s="10" t="n">
        <v>73.9</v>
      </c>
      <c r="U592" s="9" t="n">
        <v>5</v>
      </c>
      <c r="V592" s="3" t="s">
        <v>83</v>
      </c>
      <c r="W592" s="9" t="n">
        <v>0.75</v>
      </c>
      <c r="Z592" s="3" t="s">
        <v>1578</v>
      </c>
      <c r="AA592" s="3" t="s">
        <v>1814</v>
      </c>
      <c r="AB592" s="11" t="n">
        <v>46127</v>
      </c>
    </row>
    <row r="593" customFormat="false" ht="15" hidden="false" customHeight="false" outlineLevel="0" collapsed="false">
      <c r="A593" s="3" t="s">
        <v>1959</v>
      </c>
      <c r="B593" s="3" t="s">
        <v>378</v>
      </c>
      <c r="C593" s="3" t="s">
        <v>1778</v>
      </c>
      <c r="D593" s="3" t="s">
        <v>384</v>
      </c>
      <c r="E593" s="3" t="s">
        <v>1960</v>
      </c>
      <c r="F593" s="3" t="s">
        <v>1574</v>
      </c>
      <c r="G593" s="3" t="s">
        <v>1575</v>
      </c>
      <c r="H593" s="3" t="s">
        <v>1576</v>
      </c>
      <c r="I593" s="3" t="s">
        <v>1961</v>
      </c>
      <c r="M593" s="8" t="n">
        <v>467529</v>
      </c>
      <c r="P593" s="9" t="n">
        <v>62</v>
      </c>
      <c r="Q593" s="9" t="n">
        <v>23.2</v>
      </c>
      <c r="R593" s="9" t="n">
        <v>1</v>
      </c>
      <c r="S593" s="8" t="n">
        <v>1005813</v>
      </c>
      <c r="T593" s="10" t="n">
        <v>39.3</v>
      </c>
      <c r="U593" s="9" t="n">
        <v>1</v>
      </c>
      <c r="V593" s="3" t="s">
        <v>83</v>
      </c>
      <c r="W593" s="9" t="n">
        <v>0.75</v>
      </c>
      <c r="Z593" s="3" t="s">
        <v>1578</v>
      </c>
      <c r="AA593" s="3" t="s">
        <v>1814</v>
      </c>
      <c r="AB593" s="11" t="n">
        <v>46127</v>
      </c>
    </row>
    <row r="594" customFormat="false" ht="15" hidden="false" customHeight="false" outlineLevel="0" collapsed="false">
      <c r="A594" s="3" t="s">
        <v>1962</v>
      </c>
      <c r="B594" s="3" t="s">
        <v>378</v>
      </c>
      <c r="C594" s="3" t="s">
        <v>1782</v>
      </c>
      <c r="D594" s="3" t="s">
        <v>391</v>
      </c>
      <c r="E594" s="3" t="s">
        <v>1963</v>
      </c>
      <c r="F594" s="3" t="s">
        <v>1574</v>
      </c>
      <c r="G594" s="3" t="s">
        <v>1575</v>
      </c>
      <c r="H594" s="3" t="s">
        <v>1576</v>
      </c>
      <c r="I594" s="3" t="s">
        <v>502</v>
      </c>
      <c r="M594" s="8" t="n">
        <v>162996</v>
      </c>
      <c r="P594" s="9" t="n">
        <v>66</v>
      </c>
      <c r="Q594" s="9" t="n">
        <v>7.6</v>
      </c>
      <c r="R594" s="9" t="n">
        <v>1</v>
      </c>
      <c r="S594" s="8" t="n">
        <v>120606</v>
      </c>
      <c r="T594" s="10" t="n">
        <v>76.1</v>
      </c>
      <c r="U594" s="9" t="n">
        <v>5</v>
      </c>
      <c r="V594" s="3" t="s">
        <v>92</v>
      </c>
      <c r="W594" s="9" t="n">
        <v>0.75</v>
      </c>
      <c r="Z594" s="3" t="s">
        <v>1578</v>
      </c>
      <c r="AA594" s="3" t="s">
        <v>1814</v>
      </c>
      <c r="AB594" s="11" t="n">
        <v>46127</v>
      </c>
    </row>
    <row r="595" customFormat="false" ht="15" hidden="false" customHeight="false" outlineLevel="0" collapsed="false">
      <c r="A595" s="3" t="s">
        <v>1964</v>
      </c>
      <c r="B595" s="3" t="s">
        <v>378</v>
      </c>
      <c r="C595" s="3" t="s">
        <v>1786</v>
      </c>
      <c r="D595" s="3" t="s">
        <v>379</v>
      </c>
      <c r="E595" s="3" t="s">
        <v>1965</v>
      </c>
      <c r="F595" s="3" t="s">
        <v>1574</v>
      </c>
      <c r="G595" s="3" t="s">
        <v>1575</v>
      </c>
      <c r="H595" s="3" t="s">
        <v>1576</v>
      </c>
      <c r="I595" s="3" t="s">
        <v>1966</v>
      </c>
      <c r="M595" s="8" t="n">
        <v>324682</v>
      </c>
      <c r="P595" s="9" t="n">
        <v>72</v>
      </c>
      <c r="Q595" s="9" t="n">
        <v>21</v>
      </c>
      <c r="R595" s="9" t="n">
        <v>1</v>
      </c>
      <c r="S595" s="8" t="n">
        <v>566042</v>
      </c>
      <c r="T595" s="10" t="n">
        <v>94.5</v>
      </c>
      <c r="U595" s="9" t="n">
        <v>2</v>
      </c>
      <c r="V595" s="3" t="s">
        <v>92</v>
      </c>
      <c r="W595" s="9" t="n">
        <v>0.75</v>
      </c>
      <c r="Z595" s="3" t="s">
        <v>1578</v>
      </c>
      <c r="AA595" s="3" t="s">
        <v>1814</v>
      </c>
      <c r="AB595" s="11" t="n">
        <v>46127</v>
      </c>
    </row>
    <row r="596" customFormat="false" ht="15" hidden="false" customHeight="false" outlineLevel="0" collapsed="false">
      <c r="A596" s="3" t="s">
        <v>1967</v>
      </c>
      <c r="B596" s="3" t="s">
        <v>378</v>
      </c>
      <c r="C596" s="3" t="s">
        <v>1790</v>
      </c>
      <c r="D596" s="3" t="s">
        <v>379</v>
      </c>
      <c r="E596" s="3" t="s">
        <v>1968</v>
      </c>
      <c r="F596" s="3" t="s">
        <v>1574</v>
      </c>
      <c r="G596" s="3" t="s">
        <v>1575</v>
      </c>
      <c r="H596" s="3" t="s">
        <v>1576</v>
      </c>
      <c r="I596" s="3" t="s">
        <v>1969</v>
      </c>
      <c r="M596" s="8" t="n">
        <v>337733</v>
      </c>
      <c r="P596" s="9" t="n">
        <v>73</v>
      </c>
      <c r="Q596" s="9" t="n">
        <v>5.1</v>
      </c>
      <c r="R596" s="9" t="n">
        <v>1</v>
      </c>
      <c r="S596" s="8" t="n">
        <v>194486</v>
      </c>
      <c r="T596" s="10" t="n">
        <v>62.1</v>
      </c>
      <c r="U596" s="9" t="n">
        <v>4</v>
      </c>
      <c r="V596" s="3" t="s">
        <v>55</v>
      </c>
      <c r="W596" s="9" t="n">
        <v>0.75</v>
      </c>
      <c r="Z596" s="3" t="s">
        <v>1578</v>
      </c>
      <c r="AA596" s="3" t="s">
        <v>1814</v>
      </c>
      <c r="AB596" s="11" t="n">
        <v>46127</v>
      </c>
    </row>
    <row r="597" customFormat="false" ht="15" hidden="false" customHeight="false" outlineLevel="0" collapsed="false">
      <c r="A597" s="3" t="s">
        <v>1970</v>
      </c>
      <c r="B597" s="3" t="s">
        <v>378</v>
      </c>
      <c r="C597" s="3" t="s">
        <v>1794</v>
      </c>
      <c r="D597" s="3" t="s">
        <v>391</v>
      </c>
      <c r="E597" s="3" t="s">
        <v>1971</v>
      </c>
      <c r="F597" s="3" t="s">
        <v>1574</v>
      </c>
      <c r="G597" s="3" t="s">
        <v>1575</v>
      </c>
      <c r="H597" s="3" t="s">
        <v>1576</v>
      </c>
      <c r="I597" s="3" t="s">
        <v>1972</v>
      </c>
      <c r="M597" s="8" t="n">
        <v>483990</v>
      </c>
      <c r="P597" s="9" t="n">
        <v>40</v>
      </c>
      <c r="Q597" s="9" t="n">
        <v>22.4</v>
      </c>
      <c r="R597" s="9" t="n">
        <v>1</v>
      </c>
      <c r="S597" s="8" t="n">
        <v>589175</v>
      </c>
      <c r="T597" s="10" t="n">
        <v>26.5</v>
      </c>
      <c r="U597" s="9" t="n">
        <v>3</v>
      </c>
      <c r="V597" s="3" t="s">
        <v>83</v>
      </c>
      <c r="W597" s="9" t="n">
        <v>0.75</v>
      </c>
      <c r="Z597" s="3" t="s">
        <v>1578</v>
      </c>
      <c r="AA597" s="3" t="s">
        <v>1814</v>
      </c>
      <c r="AB597" s="11" t="n">
        <v>46127</v>
      </c>
    </row>
    <row r="598" customFormat="false" ht="15" hidden="false" customHeight="false" outlineLevel="0" collapsed="false">
      <c r="A598" s="3" t="s">
        <v>1973</v>
      </c>
      <c r="B598" s="3" t="s">
        <v>378</v>
      </c>
      <c r="C598" s="3" t="s">
        <v>1798</v>
      </c>
      <c r="D598" s="3" t="s">
        <v>384</v>
      </c>
      <c r="E598" s="3" t="s">
        <v>1974</v>
      </c>
      <c r="F598" s="3" t="s">
        <v>1574</v>
      </c>
      <c r="G598" s="3" t="s">
        <v>1575</v>
      </c>
      <c r="H598" s="3" t="s">
        <v>1576</v>
      </c>
      <c r="I598" s="3" t="s">
        <v>1975</v>
      </c>
      <c r="M598" s="8" t="n">
        <v>116384</v>
      </c>
      <c r="P598" s="9" t="n">
        <v>62</v>
      </c>
      <c r="Q598" s="9" t="n">
        <v>24.4</v>
      </c>
      <c r="R598" s="9" t="n">
        <v>1</v>
      </c>
      <c r="S598" s="8" t="n">
        <v>794216</v>
      </c>
      <c r="T598" s="10" t="n">
        <v>67.2</v>
      </c>
      <c r="U598" s="9" t="n">
        <v>6</v>
      </c>
      <c r="V598" s="3" t="s">
        <v>62</v>
      </c>
      <c r="W598" s="9" t="n">
        <v>0.75</v>
      </c>
      <c r="Z598" s="3" t="s">
        <v>1578</v>
      </c>
      <c r="AA598" s="3" t="s">
        <v>1814</v>
      </c>
      <c r="AB598" s="11" t="n">
        <v>46127</v>
      </c>
    </row>
    <row r="599" customFormat="false" ht="15" hidden="false" customHeight="false" outlineLevel="0" collapsed="false">
      <c r="A599" s="3" t="s">
        <v>1976</v>
      </c>
      <c r="B599" s="3" t="s">
        <v>378</v>
      </c>
      <c r="C599" s="3" t="s">
        <v>1802</v>
      </c>
      <c r="D599" s="3" t="s">
        <v>391</v>
      </c>
      <c r="E599" s="3" t="s">
        <v>1977</v>
      </c>
      <c r="F599" s="3" t="s">
        <v>1574</v>
      </c>
      <c r="G599" s="3" t="s">
        <v>1575</v>
      </c>
      <c r="H599" s="3" t="s">
        <v>1576</v>
      </c>
      <c r="I599" s="3" t="s">
        <v>1978</v>
      </c>
      <c r="M599" s="8" t="n">
        <v>186508</v>
      </c>
      <c r="P599" s="9" t="n">
        <v>73</v>
      </c>
      <c r="Q599" s="9" t="n">
        <v>12.7</v>
      </c>
      <c r="R599" s="9" t="n">
        <v>1</v>
      </c>
      <c r="S599" s="8" t="n">
        <v>247797</v>
      </c>
      <c r="T599" s="10" t="n">
        <v>45.1</v>
      </c>
      <c r="U599" s="9" t="n">
        <v>10</v>
      </c>
      <c r="V599" s="3" t="s">
        <v>92</v>
      </c>
      <c r="W599" s="9" t="n">
        <v>0.75</v>
      </c>
      <c r="Z599" s="3" t="s">
        <v>1578</v>
      </c>
      <c r="AA599" s="3" t="s">
        <v>1814</v>
      </c>
      <c r="AB599" s="11" t="n">
        <v>46127</v>
      </c>
    </row>
    <row r="600" customFormat="false" ht="15" hidden="false" customHeight="false" outlineLevel="0" collapsed="false">
      <c r="A600" s="3" t="s">
        <v>1979</v>
      </c>
      <c r="B600" s="3" t="s">
        <v>378</v>
      </c>
      <c r="C600" s="3" t="s">
        <v>1806</v>
      </c>
      <c r="D600" s="3" t="s">
        <v>384</v>
      </c>
      <c r="E600" s="3" t="s">
        <v>1980</v>
      </c>
      <c r="F600" s="3" t="s">
        <v>1574</v>
      </c>
      <c r="G600" s="3" t="s">
        <v>1575</v>
      </c>
      <c r="H600" s="3" t="s">
        <v>1576</v>
      </c>
      <c r="I600" s="3" t="s">
        <v>1981</v>
      </c>
      <c r="M600" s="8" t="n">
        <v>553415</v>
      </c>
      <c r="P600" s="9" t="n">
        <v>43</v>
      </c>
      <c r="Q600" s="9" t="n">
        <v>25.2</v>
      </c>
      <c r="R600" s="9" t="n">
        <v>1</v>
      </c>
      <c r="S600" s="8" t="n">
        <v>406781</v>
      </c>
      <c r="T600" s="10" t="n">
        <v>90.6</v>
      </c>
      <c r="U600" s="9" t="n">
        <v>5</v>
      </c>
      <c r="V600" s="3" t="s">
        <v>62</v>
      </c>
      <c r="W600" s="9" t="n">
        <v>0.75</v>
      </c>
      <c r="Z600" s="3" t="s">
        <v>1578</v>
      </c>
      <c r="AA600" s="3" t="s">
        <v>1814</v>
      </c>
      <c r="AB600" s="11" t="n">
        <v>46127</v>
      </c>
    </row>
    <row r="601" customFormat="false" ht="15" hidden="false" customHeight="false" outlineLevel="0" collapsed="false">
      <c r="A601" s="3" t="s">
        <v>1982</v>
      </c>
      <c r="B601" s="3" t="s">
        <v>378</v>
      </c>
      <c r="C601" s="3" t="s">
        <v>1809</v>
      </c>
      <c r="D601" s="3" t="s">
        <v>391</v>
      </c>
      <c r="E601" s="3" t="s">
        <v>1153</v>
      </c>
      <c r="F601" s="3" t="s">
        <v>1574</v>
      </c>
      <c r="G601" s="3" t="s">
        <v>1575</v>
      </c>
      <c r="H601" s="3" t="s">
        <v>1576</v>
      </c>
      <c r="I601" s="3" t="s">
        <v>1983</v>
      </c>
      <c r="M601" s="8" t="n">
        <v>423861</v>
      </c>
      <c r="P601" s="9" t="n">
        <v>75</v>
      </c>
      <c r="Q601" s="9" t="n">
        <v>29.7</v>
      </c>
      <c r="R601" s="9" t="n">
        <v>1</v>
      </c>
      <c r="S601" s="8" t="n">
        <v>525840</v>
      </c>
      <c r="T601" s="10" t="n">
        <v>42.9</v>
      </c>
      <c r="U601" s="9" t="n">
        <v>10</v>
      </c>
      <c r="V601" s="3" t="s">
        <v>92</v>
      </c>
      <c r="W601" s="9" t="n">
        <v>0.75</v>
      </c>
      <c r="Z601" s="3" t="s">
        <v>1578</v>
      </c>
      <c r="AA601" s="3" t="s">
        <v>1814</v>
      </c>
      <c r="AB601" s="11" t="n">
        <v>46127</v>
      </c>
    </row>
    <row r="602" customFormat="false" ht="15" hidden="false" customHeight="false" outlineLevel="0" collapsed="false">
      <c r="A602" s="3" t="s">
        <v>1984</v>
      </c>
      <c r="B602" s="3" t="s">
        <v>48</v>
      </c>
      <c r="C602" s="3" t="s">
        <v>1572</v>
      </c>
      <c r="E602" s="3" t="s">
        <v>1985</v>
      </c>
      <c r="F602" s="3" t="s">
        <v>1986</v>
      </c>
      <c r="G602" s="3" t="s">
        <v>1575</v>
      </c>
      <c r="H602" s="3" t="s">
        <v>1987</v>
      </c>
      <c r="I602" s="3" t="s">
        <v>1988</v>
      </c>
      <c r="M602" s="8" t="n">
        <v>333546</v>
      </c>
      <c r="N602" s="8" t="n">
        <v>806655</v>
      </c>
      <c r="O602" s="9" t="n">
        <v>20.1</v>
      </c>
      <c r="P602" s="9" t="n">
        <v>35</v>
      </c>
      <c r="R602" s="9" t="n">
        <v>1</v>
      </c>
      <c r="T602" s="10" t="n">
        <v>83.6</v>
      </c>
      <c r="U602" s="9" t="n">
        <v>9</v>
      </c>
      <c r="V602" s="3" t="s">
        <v>55</v>
      </c>
      <c r="W602" s="9" t="n">
        <v>0.75</v>
      </c>
      <c r="Z602" s="3" t="s">
        <v>1578</v>
      </c>
      <c r="AA602" s="3" t="s">
        <v>1989</v>
      </c>
      <c r="AB602" s="11" t="n">
        <v>46127</v>
      </c>
    </row>
    <row r="603" customFormat="false" ht="15" hidden="false" customHeight="false" outlineLevel="0" collapsed="false">
      <c r="A603" s="3" t="s">
        <v>1990</v>
      </c>
      <c r="B603" s="3" t="s">
        <v>48</v>
      </c>
      <c r="C603" s="3" t="s">
        <v>1581</v>
      </c>
      <c r="E603" s="3" t="s">
        <v>1991</v>
      </c>
      <c r="F603" s="3" t="s">
        <v>1986</v>
      </c>
      <c r="G603" s="3" t="s">
        <v>1575</v>
      </c>
      <c r="H603" s="3" t="s">
        <v>1987</v>
      </c>
      <c r="I603" s="3" t="s">
        <v>1992</v>
      </c>
      <c r="M603" s="8" t="n">
        <v>275248</v>
      </c>
      <c r="N603" s="8" t="n">
        <v>299676</v>
      </c>
      <c r="O603" s="9" t="n">
        <v>15.2</v>
      </c>
      <c r="P603" s="9" t="n">
        <v>69</v>
      </c>
      <c r="R603" s="9" t="n">
        <v>2</v>
      </c>
      <c r="T603" s="10" t="n">
        <v>64.1</v>
      </c>
      <c r="U603" s="9" t="n">
        <v>2</v>
      </c>
      <c r="V603" s="3" t="s">
        <v>55</v>
      </c>
      <c r="W603" s="9" t="n">
        <v>0.75</v>
      </c>
      <c r="Z603" s="3" t="s">
        <v>1578</v>
      </c>
      <c r="AA603" s="3" t="s">
        <v>1989</v>
      </c>
      <c r="AB603" s="11" t="n">
        <v>46127</v>
      </c>
    </row>
    <row r="604" customFormat="false" ht="15" hidden="false" customHeight="false" outlineLevel="0" collapsed="false">
      <c r="A604" s="3" t="s">
        <v>1993</v>
      </c>
      <c r="B604" s="3" t="s">
        <v>48</v>
      </c>
      <c r="C604" s="3" t="s">
        <v>1584</v>
      </c>
      <c r="E604" s="3" t="s">
        <v>1994</v>
      </c>
      <c r="F604" s="3" t="s">
        <v>1986</v>
      </c>
      <c r="G604" s="3" t="s">
        <v>1575</v>
      </c>
      <c r="H604" s="3" t="s">
        <v>1987</v>
      </c>
      <c r="I604" s="3" t="s">
        <v>1995</v>
      </c>
      <c r="M604" s="8" t="n">
        <v>1753669</v>
      </c>
      <c r="N604" s="8" t="n">
        <v>378923</v>
      </c>
      <c r="O604" s="9" t="n">
        <v>11.5</v>
      </c>
      <c r="P604" s="9" t="n">
        <v>69</v>
      </c>
      <c r="R604" s="9" t="n">
        <v>1</v>
      </c>
      <c r="T604" s="10" t="n">
        <v>76.8</v>
      </c>
      <c r="U604" s="9" t="n">
        <v>8</v>
      </c>
      <c r="V604" s="3" t="s">
        <v>55</v>
      </c>
      <c r="W604" s="9" t="n">
        <v>0.75</v>
      </c>
      <c r="Z604" s="3" t="s">
        <v>1578</v>
      </c>
      <c r="AA604" s="3" t="s">
        <v>1989</v>
      </c>
      <c r="AB604" s="11" t="n">
        <v>46127</v>
      </c>
    </row>
    <row r="605" customFormat="false" ht="15" hidden="false" customHeight="false" outlineLevel="0" collapsed="false">
      <c r="A605" s="3" t="s">
        <v>1996</v>
      </c>
      <c r="B605" s="3" t="s">
        <v>48</v>
      </c>
      <c r="C605" s="3" t="s">
        <v>1588</v>
      </c>
      <c r="E605" s="3" t="s">
        <v>1997</v>
      </c>
      <c r="F605" s="3" t="s">
        <v>1986</v>
      </c>
      <c r="G605" s="3" t="s">
        <v>1575</v>
      </c>
      <c r="H605" s="3" t="s">
        <v>1987</v>
      </c>
      <c r="I605" s="3" t="s">
        <v>1998</v>
      </c>
      <c r="M605" s="8" t="n">
        <v>509275</v>
      </c>
      <c r="N605" s="8" t="n">
        <v>220196</v>
      </c>
      <c r="O605" s="9" t="n">
        <v>9.3</v>
      </c>
      <c r="P605" s="9" t="n">
        <v>55</v>
      </c>
      <c r="R605" s="9" t="n">
        <v>1</v>
      </c>
      <c r="T605" s="10" t="n">
        <v>79.3</v>
      </c>
      <c r="U605" s="9" t="n">
        <v>10</v>
      </c>
      <c r="V605" s="3" t="s">
        <v>92</v>
      </c>
      <c r="W605" s="9" t="n">
        <v>0.75</v>
      </c>
      <c r="Z605" s="3" t="s">
        <v>1578</v>
      </c>
      <c r="AA605" s="3" t="s">
        <v>1989</v>
      </c>
      <c r="AB605" s="11" t="n">
        <v>46127</v>
      </c>
    </row>
    <row r="606" customFormat="false" ht="15" hidden="false" customHeight="false" outlineLevel="0" collapsed="false">
      <c r="A606" s="3" t="s">
        <v>1999</v>
      </c>
      <c r="B606" s="3" t="s">
        <v>48</v>
      </c>
      <c r="C606" s="3" t="s">
        <v>1592</v>
      </c>
      <c r="E606" s="3" t="s">
        <v>2000</v>
      </c>
      <c r="F606" s="3" t="s">
        <v>1986</v>
      </c>
      <c r="G606" s="3" t="s">
        <v>1575</v>
      </c>
      <c r="H606" s="3" t="s">
        <v>1987</v>
      </c>
      <c r="I606" s="3" t="s">
        <v>2001</v>
      </c>
      <c r="M606" s="8" t="n">
        <v>1349197</v>
      </c>
      <c r="N606" s="8" t="n">
        <v>101722</v>
      </c>
      <c r="O606" s="9" t="n">
        <v>25.5</v>
      </c>
      <c r="P606" s="9" t="n">
        <v>39</v>
      </c>
      <c r="R606" s="9" t="n">
        <v>1</v>
      </c>
      <c r="T606" s="10" t="n">
        <v>89.8</v>
      </c>
      <c r="U606" s="9" t="n">
        <v>10</v>
      </c>
      <c r="V606" s="3" t="s">
        <v>92</v>
      </c>
      <c r="W606" s="9" t="n">
        <v>0.75</v>
      </c>
      <c r="Z606" s="3" t="s">
        <v>1578</v>
      </c>
      <c r="AA606" s="3" t="s">
        <v>1989</v>
      </c>
      <c r="AB606" s="11" t="n">
        <v>46127</v>
      </c>
    </row>
    <row r="607" customFormat="false" ht="15" hidden="false" customHeight="false" outlineLevel="0" collapsed="false">
      <c r="A607" s="3" t="s">
        <v>2002</v>
      </c>
      <c r="B607" s="3" t="s">
        <v>48</v>
      </c>
      <c r="C607" s="3" t="s">
        <v>1596</v>
      </c>
      <c r="E607" s="3" t="s">
        <v>2003</v>
      </c>
      <c r="F607" s="3" t="s">
        <v>1986</v>
      </c>
      <c r="G607" s="3" t="s">
        <v>1575</v>
      </c>
      <c r="H607" s="3" t="s">
        <v>1987</v>
      </c>
      <c r="I607" s="3" t="s">
        <v>2004</v>
      </c>
      <c r="M607" s="8" t="n">
        <v>357240</v>
      </c>
      <c r="N607" s="8" t="n">
        <v>161789</v>
      </c>
      <c r="O607" s="9" t="n">
        <v>4.7</v>
      </c>
      <c r="P607" s="9" t="n">
        <v>48</v>
      </c>
      <c r="R607" s="9" t="n">
        <v>1</v>
      </c>
      <c r="T607" s="10" t="n">
        <v>93.7</v>
      </c>
      <c r="U607" s="9" t="n">
        <v>9</v>
      </c>
      <c r="V607" s="3" t="s">
        <v>92</v>
      </c>
      <c r="W607" s="9" t="n">
        <v>0.75</v>
      </c>
      <c r="Z607" s="3" t="s">
        <v>1578</v>
      </c>
      <c r="AA607" s="3" t="s">
        <v>1989</v>
      </c>
      <c r="AB607" s="11" t="n">
        <v>46127</v>
      </c>
    </row>
    <row r="608" customFormat="false" ht="15" hidden="false" customHeight="false" outlineLevel="0" collapsed="false">
      <c r="A608" s="3" t="s">
        <v>2005</v>
      </c>
      <c r="B608" s="3" t="s">
        <v>48</v>
      </c>
      <c r="C608" s="3" t="s">
        <v>1600</v>
      </c>
      <c r="E608" s="3" t="s">
        <v>2006</v>
      </c>
      <c r="F608" s="3" t="s">
        <v>1986</v>
      </c>
      <c r="G608" s="3" t="s">
        <v>1575</v>
      </c>
      <c r="H608" s="3" t="s">
        <v>1987</v>
      </c>
      <c r="I608" s="3" t="s">
        <v>2007</v>
      </c>
      <c r="M608" s="8" t="n">
        <v>701541</v>
      </c>
      <c r="N608" s="8" t="n">
        <v>764126</v>
      </c>
      <c r="O608" s="9" t="n">
        <v>2.4</v>
      </c>
      <c r="P608" s="9" t="n">
        <v>71</v>
      </c>
      <c r="R608" s="9" t="n">
        <v>1</v>
      </c>
      <c r="T608" s="10" t="n">
        <v>29.6</v>
      </c>
      <c r="U608" s="9" t="n">
        <v>3</v>
      </c>
      <c r="V608" s="3" t="s">
        <v>92</v>
      </c>
      <c r="W608" s="9" t="n">
        <v>0.75</v>
      </c>
      <c r="Z608" s="3" t="s">
        <v>1578</v>
      </c>
      <c r="AA608" s="3" t="s">
        <v>1989</v>
      </c>
      <c r="AB608" s="11" t="n">
        <v>46127</v>
      </c>
    </row>
    <row r="609" customFormat="false" ht="15" hidden="false" customHeight="false" outlineLevel="0" collapsed="false">
      <c r="A609" s="3" t="s">
        <v>2008</v>
      </c>
      <c r="B609" s="3" t="s">
        <v>48</v>
      </c>
      <c r="C609" s="3" t="s">
        <v>1604</v>
      </c>
      <c r="E609" s="3" t="s">
        <v>2009</v>
      </c>
      <c r="F609" s="3" t="s">
        <v>1986</v>
      </c>
      <c r="G609" s="3" t="s">
        <v>1575</v>
      </c>
      <c r="H609" s="3" t="s">
        <v>1987</v>
      </c>
      <c r="I609" s="3" t="s">
        <v>2010</v>
      </c>
      <c r="M609" s="8" t="n">
        <v>98066</v>
      </c>
      <c r="N609" s="8" t="n">
        <v>560625</v>
      </c>
      <c r="O609" s="9" t="n">
        <v>13.5</v>
      </c>
      <c r="P609" s="9" t="n">
        <v>59</v>
      </c>
      <c r="R609" s="9" t="n">
        <v>1</v>
      </c>
      <c r="T609" s="10" t="n">
        <v>35.5</v>
      </c>
      <c r="U609" s="9" t="n">
        <v>7</v>
      </c>
      <c r="V609" s="3" t="s">
        <v>55</v>
      </c>
      <c r="W609" s="9" t="n">
        <v>0.75</v>
      </c>
      <c r="Z609" s="3" t="s">
        <v>1578</v>
      </c>
      <c r="AA609" s="3" t="s">
        <v>1989</v>
      </c>
      <c r="AB609" s="11" t="n">
        <v>46127</v>
      </c>
    </row>
    <row r="610" customFormat="false" ht="15" hidden="false" customHeight="false" outlineLevel="0" collapsed="false">
      <c r="A610" s="3" t="s">
        <v>2011</v>
      </c>
      <c r="B610" s="3" t="s">
        <v>48</v>
      </c>
      <c r="C610" s="3" t="s">
        <v>1608</v>
      </c>
      <c r="E610" s="3" t="s">
        <v>2012</v>
      </c>
      <c r="F610" s="3" t="s">
        <v>1986</v>
      </c>
      <c r="G610" s="3" t="s">
        <v>1575</v>
      </c>
      <c r="H610" s="3" t="s">
        <v>1987</v>
      </c>
      <c r="I610" s="3" t="s">
        <v>2013</v>
      </c>
      <c r="M610" s="8" t="n">
        <v>471143</v>
      </c>
      <c r="N610" s="8" t="n">
        <v>452459</v>
      </c>
      <c r="O610" s="9" t="n">
        <v>3.4</v>
      </c>
      <c r="P610" s="9" t="n">
        <v>39</v>
      </c>
      <c r="R610" s="9" t="n">
        <v>1</v>
      </c>
      <c r="T610" s="10" t="n">
        <v>75.6</v>
      </c>
      <c r="U610" s="9" t="n">
        <v>5</v>
      </c>
      <c r="V610" s="3" t="s">
        <v>92</v>
      </c>
      <c r="W610" s="9" t="n">
        <v>0.75</v>
      </c>
      <c r="Z610" s="3" t="s">
        <v>1578</v>
      </c>
      <c r="AA610" s="3" t="s">
        <v>1989</v>
      </c>
      <c r="AB610" s="11" t="n">
        <v>46127</v>
      </c>
    </row>
    <row r="611" customFormat="false" ht="15" hidden="false" customHeight="false" outlineLevel="0" collapsed="false">
      <c r="A611" s="3" t="s">
        <v>2014</v>
      </c>
      <c r="B611" s="3" t="s">
        <v>48</v>
      </c>
      <c r="C611" s="3" t="s">
        <v>1612</v>
      </c>
      <c r="E611" s="3" t="s">
        <v>2015</v>
      </c>
      <c r="F611" s="3" t="s">
        <v>1986</v>
      </c>
      <c r="G611" s="3" t="s">
        <v>1575</v>
      </c>
      <c r="H611" s="3" t="s">
        <v>1987</v>
      </c>
      <c r="I611" s="3" t="s">
        <v>2016</v>
      </c>
      <c r="M611" s="8" t="n">
        <v>228082</v>
      </c>
      <c r="N611" s="8" t="n">
        <v>322251</v>
      </c>
      <c r="O611" s="9" t="n">
        <v>2.2</v>
      </c>
      <c r="P611" s="9" t="n">
        <v>48</v>
      </c>
      <c r="R611" s="9" t="n">
        <v>1</v>
      </c>
      <c r="T611" s="10" t="n">
        <v>18.6</v>
      </c>
      <c r="U611" s="9" t="n">
        <v>9</v>
      </c>
      <c r="V611" s="3" t="s">
        <v>62</v>
      </c>
      <c r="W611" s="9" t="n">
        <v>0.75</v>
      </c>
      <c r="Z611" s="3" t="s">
        <v>1578</v>
      </c>
      <c r="AA611" s="3" t="s">
        <v>1989</v>
      </c>
      <c r="AB611" s="11" t="n">
        <v>46127</v>
      </c>
    </row>
    <row r="612" customFormat="false" ht="15" hidden="false" customHeight="false" outlineLevel="0" collapsed="false">
      <c r="A612" s="3" t="s">
        <v>2017</v>
      </c>
      <c r="B612" s="3" t="s">
        <v>48</v>
      </c>
      <c r="C612" s="3" t="s">
        <v>1616</v>
      </c>
      <c r="E612" s="3" t="s">
        <v>2018</v>
      </c>
      <c r="F612" s="3" t="s">
        <v>1986</v>
      </c>
      <c r="G612" s="3" t="s">
        <v>1575</v>
      </c>
      <c r="H612" s="3" t="s">
        <v>1987</v>
      </c>
      <c r="I612" s="3" t="s">
        <v>2019</v>
      </c>
      <c r="M612" s="8" t="n">
        <v>640566</v>
      </c>
      <c r="N612" s="8" t="n">
        <v>499146</v>
      </c>
      <c r="O612" s="9" t="n">
        <v>29.7</v>
      </c>
      <c r="P612" s="9" t="n">
        <v>69</v>
      </c>
      <c r="R612" s="9" t="n">
        <v>1</v>
      </c>
      <c r="T612" s="10" t="n">
        <v>82.9</v>
      </c>
      <c r="U612" s="9" t="n">
        <v>1</v>
      </c>
      <c r="V612" s="3" t="s">
        <v>55</v>
      </c>
      <c r="W612" s="9" t="n">
        <v>0.75</v>
      </c>
      <c r="Z612" s="3" t="s">
        <v>1578</v>
      </c>
      <c r="AA612" s="3" t="s">
        <v>1989</v>
      </c>
      <c r="AB612" s="11" t="n">
        <v>46127</v>
      </c>
    </row>
    <row r="613" customFormat="false" ht="15" hidden="false" customHeight="false" outlineLevel="0" collapsed="false">
      <c r="A613" s="3" t="s">
        <v>2020</v>
      </c>
      <c r="B613" s="3" t="s">
        <v>48</v>
      </c>
      <c r="C613" s="3" t="s">
        <v>1620</v>
      </c>
      <c r="E613" s="3" t="s">
        <v>2021</v>
      </c>
      <c r="F613" s="3" t="s">
        <v>1986</v>
      </c>
      <c r="G613" s="3" t="s">
        <v>1575</v>
      </c>
      <c r="H613" s="3" t="s">
        <v>1987</v>
      </c>
      <c r="I613" s="3" t="s">
        <v>2022</v>
      </c>
      <c r="M613" s="8" t="n">
        <v>338584</v>
      </c>
      <c r="N613" s="8" t="n">
        <v>106487</v>
      </c>
      <c r="O613" s="9" t="n">
        <v>16.4</v>
      </c>
      <c r="P613" s="9" t="n">
        <v>71</v>
      </c>
      <c r="R613" s="9" t="n">
        <v>1</v>
      </c>
      <c r="T613" s="10" t="n">
        <v>70.2</v>
      </c>
      <c r="U613" s="9" t="n">
        <v>10</v>
      </c>
      <c r="V613" s="3" t="s">
        <v>55</v>
      </c>
      <c r="W613" s="9" t="n">
        <v>0.75</v>
      </c>
      <c r="Z613" s="3" t="s">
        <v>1578</v>
      </c>
      <c r="AA613" s="3" t="s">
        <v>1989</v>
      </c>
      <c r="AB613" s="11" t="n">
        <v>46127</v>
      </c>
    </row>
    <row r="614" customFormat="false" ht="15" hidden="false" customHeight="false" outlineLevel="0" collapsed="false">
      <c r="A614" s="3" t="s">
        <v>2023</v>
      </c>
      <c r="B614" s="3" t="s">
        <v>48</v>
      </c>
      <c r="C614" s="3" t="s">
        <v>1624</v>
      </c>
      <c r="E614" s="3" t="s">
        <v>2024</v>
      </c>
      <c r="F614" s="3" t="s">
        <v>1986</v>
      </c>
      <c r="G614" s="3" t="s">
        <v>1575</v>
      </c>
      <c r="H614" s="3" t="s">
        <v>1987</v>
      </c>
      <c r="I614" s="3" t="s">
        <v>2025</v>
      </c>
      <c r="M614" s="8" t="n">
        <v>235193</v>
      </c>
      <c r="N614" s="8" t="n">
        <v>546989</v>
      </c>
      <c r="O614" s="9" t="n">
        <v>21.7</v>
      </c>
      <c r="P614" s="9" t="n">
        <v>52</v>
      </c>
      <c r="R614" s="9" t="n">
        <v>1</v>
      </c>
      <c r="T614" s="10" t="n">
        <v>72.1</v>
      </c>
      <c r="U614" s="9" t="n">
        <v>6</v>
      </c>
      <c r="V614" s="3" t="s">
        <v>83</v>
      </c>
      <c r="W614" s="9" t="n">
        <v>0.75</v>
      </c>
      <c r="Z614" s="3" t="s">
        <v>1578</v>
      </c>
      <c r="AA614" s="3" t="s">
        <v>1989</v>
      </c>
      <c r="AB614" s="11" t="n">
        <v>46127</v>
      </c>
    </row>
    <row r="615" customFormat="false" ht="15" hidden="false" customHeight="false" outlineLevel="0" collapsed="false">
      <c r="A615" s="3" t="s">
        <v>2026</v>
      </c>
      <c r="B615" s="3" t="s">
        <v>48</v>
      </c>
      <c r="C615" s="3" t="s">
        <v>1628</v>
      </c>
      <c r="E615" s="3" t="s">
        <v>1025</v>
      </c>
      <c r="F615" s="3" t="s">
        <v>1986</v>
      </c>
      <c r="G615" s="3" t="s">
        <v>1575</v>
      </c>
      <c r="H615" s="3" t="s">
        <v>1987</v>
      </c>
      <c r="I615" s="3" t="s">
        <v>2027</v>
      </c>
      <c r="M615" s="8" t="n">
        <v>171467</v>
      </c>
      <c r="N615" s="8" t="n">
        <v>201764</v>
      </c>
      <c r="O615" s="9" t="n">
        <v>14.6</v>
      </c>
      <c r="P615" s="9" t="n">
        <v>70</v>
      </c>
      <c r="R615" s="9" t="n">
        <v>1</v>
      </c>
      <c r="T615" s="10" t="n">
        <v>18.1</v>
      </c>
      <c r="U615" s="9" t="n">
        <v>3</v>
      </c>
      <c r="V615" s="3" t="s">
        <v>62</v>
      </c>
      <c r="W615" s="9" t="n">
        <v>0.75</v>
      </c>
      <c r="Z615" s="3" t="s">
        <v>1578</v>
      </c>
      <c r="AA615" s="3" t="s">
        <v>1989</v>
      </c>
      <c r="AB615" s="11" t="n">
        <v>46127</v>
      </c>
    </row>
    <row r="616" customFormat="false" ht="15" hidden="false" customHeight="false" outlineLevel="0" collapsed="false">
      <c r="A616" s="3" t="s">
        <v>2028</v>
      </c>
      <c r="B616" s="3" t="s">
        <v>48</v>
      </c>
      <c r="C616" s="3" t="s">
        <v>1632</v>
      </c>
      <c r="E616" s="3" t="s">
        <v>2029</v>
      </c>
      <c r="F616" s="3" t="s">
        <v>1986</v>
      </c>
      <c r="G616" s="3" t="s">
        <v>1575</v>
      </c>
      <c r="H616" s="3" t="s">
        <v>1987</v>
      </c>
      <c r="I616" s="3" t="s">
        <v>1437</v>
      </c>
      <c r="M616" s="8" t="n">
        <v>163699</v>
      </c>
      <c r="N616" s="8" t="n">
        <v>215254</v>
      </c>
      <c r="O616" s="9" t="n">
        <v>19.3</v>
      </c>
      <c r="P616" s="9" t="n">
        <v>45</v>
      </c>
      <c r="R616" s="9" t="n">
        <v>1</v>
      </c>
      <c r="T616" s="10" t="n">
        <v>58.2</v>
      </c>
      <c r="U616" s="9" t="n">
        <v>7</v>
      </c>
      <c r="V616" s="3" t="s">
        <v>83</v>
      </c>
      <c r="W616" s="9" t="n">
        <v>0.75</v>
      </c>
      <c r="Z616" s="3" t="s">
        <v>1578</v>
      </c>
      <c r="AA616" s="3" t="s">
        <v>1989</v>
      </c>
      <c r="AB616" s="11" t="n">
        <v>46127</v>
      </c>
    </row>
    <row r="617" customFormat="false" ht="15" hidden="false" customHeight="false" outlineLevel="0" collapsed="false">
      <c r="A617" s="3" t="s">
        <v>2030</v>
      </c>
      <c r="B617" s="3" t="s">
        <v>48</v>
      </c>
      <c r="C617" s="3" t="s">
        <v>1636</v>
      </c>
      <c r="E617" s="3" t="s">
        <v>2031</v>
      </c>
      <c r="F617" s="3" t="s">
        <v>1986</v>
      </c>
      <c r="G617" s="3" t="s">
        <v>1575</v>
      </c>
      <c r="H617" s="3" t="s">
        <v>1987</v>
      </c>
      <c r="I617" s="3" t="s">
        <v>2032</v>
      </c>
      <c r="M617" s="8" t="n">
        <v>612360</v>
      </c>
      <c r="N617" s="8" t="n">
        <v>171533</v>
      </c>
      <c r="O617" s="9" t="n">
        <v>7.5</v>
      </c>
      <c r="P617" s="9" t="n">
        <v>67</v>
      </c>
      <c r="R617" s="9" t="n">
        <v>1</v>
      </c>
      <c r="T617" s="10" t="n">
        <v>61.9</v>
      </c>
      <c r="U617" s="9" t="n">
        <v>4</v>
      </c>
      <c r="V617" s="3" t="s">
        <v>92</v>
      </c>
      <c r="W617" s="9" t="n">
        <v>0.75</v>
      </c>
      <c r="Z617" s="3" t="s">
        <v>1578</v>
      </c>
      <c r="AA617" s="3" t="s">
        <v>1989</v>
      </c>
      <c r="AB617" s="11" t="n">
        <v>46127</v>
      </c>
    </row>
    <row r="618" customFormat="false" ht="15" hidden="false" customHeight="false" outlineLevel="0" collapsed="false">
      <c r="A618" s="3" t="s">
        <v>2033</v>
      </c>
      <c r="B618" s="3" t="s">
        <v>48</v>
      </c>
      <c r="C618" s="3" t="s">
        <v>1640</v>
      </c>
      <c r="E618" s="3" t="s">
        <v>2034</v>
      </c>
      <c r="F618" s="3" t="s">
        <v>1986</v>
      </c>
      <c r="G618" s="3" t="s">
        <v>1575</v>
      </c>
      <c r="H618" s="3" t="s">
        <v>1987</v>
      </c>
      <c r="I618" s="3" t="s">
        <v>2035</v>
      </c>
      <c r="M618" s="8" t="n">
        <v>167669</v>
      </c>
      <c r="N618" s="8" t="n">
        <v>275288</v>
      </c>
      <c r="O618" s="9" t="n">
        <v>26.7</v>
      </c>
      <c r="P618" s="9" t="n">
        <v>41</v>
      </c>
      <c r="R618" s="9" t="n">
        <v>1</v>
      </c>
      <c r="T618" s="10" t="n">
        <v>94.4</v>
      </c>
      <c r="U618" s="9" t="n">
        <v>4</v>
      </c>
      <c r="V618" s="3" t="s">
        <v>92</v>
      </c>
      <c r="W618" s="9" t="n">
        <v>0.75</v>
      </c>
      <c r="Z618" s="3" t="s">
        <v>1578</v>
      </c>
      <c r="AA618" s="3" t="s">
        <v>1989</v>
      </c>
      <c r="AB618" s="11" t="n">
        <v>46127</v>
      </c>
    </row>
    <row r="619" customFormat="false" ht="15" hidden="false" customHeight="false" outlineLevel="0" collapsed="false">
      <c r="A619" s="3" t="s">
        <v>2036</v>
      </c>
      <c r="B619" s="3" t="s">
        <v>48</v>
      </c>
      <c r="C619" s="3" t="s">
        <v>1644</v>
      </c>
      <c r="E619" s="3" t="s">
        <v>2037</v>
      </c>
      <c r="F619" s="3" t="s">
        <v>1986</v>
      </c>
      <c r="G619" s="3" t="s">
        <v>1575</v>
      </c>
      <c r="H619" s="3" t="s">
        <v>1987</v>
      </c>
      <c r="I619" s="3" t="s">
        <v>1717</v>
      </c>
      <c r="M619" s="8" t="n">
        <v>471884</v>
      </c>
      <c r="N619" s="8" t="n">
        <v>141708</v>
      </c>
      <c r="O619" s="9" t="n">
        <v>22.8</v>
      </c>
      <c r="P619" s="9" t="n">
        <v>74</v>
      </c>
      <c r="R619" s="9" t="n">
        <v>1</v>
      </c>
      <c r="T619" s="10" t="n">
        <v>68.4</v>
      </c>
      <c r="U619" s="9" t="n">
        <v>7</v>
      </c>
      <c r="V619" s="3" t="s">
        <v>55</v>
      </c>
      <c r="W619" s="9" t="n">
        <v>0.75</v>
      </c>
      <c r="Z619" s="3" t="s">
        <v>1578</v>
      </c>
      <c r="AA619" s="3" t="s">
        <v>1989</v>
      </c>
      <c r="AB619" s="11" t="n">
        <v>46127</v>
      </c>
    </row>
    <row r="620" customFormat="false" ht="15" hidden="false" customHeight="false" outlineLevel="0" collapsed="false">
      <c r="A620" s="3" t="s">
        <v>2038</v>
      </c>
      <c r="B620" s="3" t="s">
        <v>48</v>
      </c>
      <c r="C620" s="3" t="s">
        <v>1648</v>
      </c>
      <c r="E620" s="3" t="s">
        <v>2039</v>
      </c>
      <c r="F620" s="3" t="s">
        <v>1986</v>
      </c>
      <c r="G620" s="3" t="s">
        <v>1575</v>
      </c>
      <c r="H620" s="3" t="s">
        <v>1987</v>
      </c>
      <c r="I620" s="3" t="s">
        <v>2040</v>
      </c>
      <c r="M620" s="8" t="n">
        <v>601239</v>
      </c>
      <c r="N620" s="8" t="n">
        <v>169429</v>
      </c>
      <c r="O620" s="9" t="n">
        <v>15.5</v>
      </c>
      <c r="P620" s="9" t="n">
        <v>66</v>
      </c>
      <c r="R620" s="9" t="n">
        <v>1</v>
      </c>
      <c r="T620" s="10" t="n">
        <v>23.3</v>
      </c>
      <c r="U620" s="9" t="n">
        <v>5</v>
      </c>
      <c r="V620" s="3" t="s">
        <v>83</v>
      </c>
      <c r="W620" s="9" t="n">
        <v>0.75</v>
      </c>
      <c r="Z620" s="3" t="s">
        <v>1578</v>
      </c>
      <c r="AA620" s="3" t="s">
        <v>1989</v>
      </c>
      <c r="AB620" s="11" t="n">
        <v>46127</v>
      </c>
    </row>
    <row r="621" customFormat="false" ht="15" hidden="false" customHeight="false" outlineLevel="0" collapsed="false">
      <c r="A621" s="3" t="s">
        <v>2041</v>
      </c>
      <c r="B621" s="3" t="s">
        <v>48</v>
      </c>
      <c r="C621" s="3" t="s">
        <v>1652</v>
      </c>
      <c r="E621" s="3" t="s">
        <v>2042</v>
      </c>
      <c r="F621" s="3" t="s">
        <v>1986</v>
      </c>
      <c r="G621" s="3" t="s">
        <v>1575</v>
      </c>
      <c r="H621" s="3" t="s">
        <v>1987</v>
      </c>
      <c r="I621" s="3" t="s">
        <v>2043</v>
      </c>
      <c r="M621" s="8" t="n">
        <v>183252</v>
      </c>
      <c r="N621" s="8" t="n">
        <v>678038</v>
      </c>
      <c r="O621" s="9" t="n">
        <v>22.7</v>
      </c>
      <c r="P621" s="9" t="n">
        <v>45</v>
      </c>
      <c r="R621" s="9" t="n">
        <v>1</v>
      </c>
      <c r="T621" s="10" t="n">
        <v>52.5</v>
      </c>
      <c r="U621" s="9" t="n">
        <v>3</v>
      </c>
      <c r="V621" s="3" t="s">
        <v>92</v>
      </c>
      <c r="W621" s="9" t="n">
        <v>0.75</v>
      </c>
      <c r="Z621" s="3" t="s">
        <v>1578</v>
      </c>
      <c r="AA621" s="3" t="s">
        <v>1989</v>
      </c>
      <c r="AB621" s="11" t="n">
        <v>46127</v>
      </c>
    </row>
    <row r="622" customFormat="false" ht="15" hidden="false" customHeight="false" outlineLevel="0" collapsed="false">
      <c r="A622" s="3" t="s">
        <v>2044</v>
      </c>
      <c r="B622" s="3" t="s">
        <v>48</v>
      </c>
      <c r="C622" s="3" t="s">
        <v>1656</v>
      </c>
      <c r="E622" s="3" t="s">
        <v>2045</v>
      </c>
      <c r="F622" s="3" t="s">
        <v>1986</v>
      </c>
      <c r="G622" s="3" t="s">
        <v>1575</v>
      </c>
      <c r="H622" s="3" t="s">
        <v>1987</v>
      </c>
      <c r="I622" s="3" t="s">
        <v>2046</v>
      </c>
      <c r="M622" s="8" t="n">
        <v>486193</v>
      </c>
      <c r="N622" s="8" t="n">
        <v>262940</v>
      </c>
      <c r="O622" s="9" t="n">
        <v>2</v>
      </c>
      <c r="P622" s="9" t="n">
        <v>71</v>
      </c>
      <c r="R622" s="9" t="n">
        <v>1</v>
      </c>
      <c r="T622" s="10" t="n">
        <v>50.5</v>
      </c>
      <c r="U622" s="9" t="n">
        <v>4</v>
      </c>
      <c r="V622" s="3" t="s">
        <v>55</v>
      </c>
      <c r="W622" s="9" t="n">
        <v>0.75</v>
      </c>
      <c r="Z622" s="3" t="s">
        <v>1578</v>
      </c>
      <c r="AA622" s="3" t="s">
        <v>1989</v>
      </c>
      <c r="AB622" s="11" t="n">
        <v>46127</v>
      </c>
    </row>
    <row r="623" customFormat="false" ht="15" hidden="false" customHeight="false" outlineLevel="0" collapsed="false">
      <c r="A623" s="3" t="s">
        <v>2047</v>
      </c>
      <c r="B623" s="3" t="s">
        <v>48</v>
      </c>
      <c r="C623" s="3" t="s">
        <v>1660</v>
      </c>
      <c r="E623" s="3" t="s">
        <v>2048</v>
      </c>
      <c r="F623" s="3" t="s">
        <v>1986</v>
      </c>
      <c r="G623" s="3" t="s">
        <v>1575</v>
      </c>
      <c r="H623" s="3" t="s">
        <v>1987</v>
      </c>
      <c r="I623" s="3" t="s">
        <v>671</v>
      </c>
      <c r="M623" s="8" t="n">
        <v>365478</v>
      </c>
      <c r="N623" s="8" t="n">
        <v>283322</v>
      </c>
      <c r="O623" s="9" t="n">
        <v>28.2</v>
      </c>
      <c r="P623" s="9" t="n">
        <v>47</v>
      </c>
      <c r="R623" s="9" t="n">
        <v>3</v>
      </c>
      <c r="T623" s="10" t="n">
        <v>29.7</v>
      </c>
      <c r="U623" s="9" t="n">
        <v>5</v>
      </c>
      <c r="V623" s="3" t="s">
        <v>62</v>
      </c>
      <c r="W623" s="9" t="n">
        <v>0.75</v>
      </c>
      <c r="Z623" s="3" t="s">
        <v>1578</v>
      </c>
      <c r="AA623" s="3" t="s">
        <v>1989</v>
      </c>
      <c r="AB623" s="11" t="n">
        <v>46127</v>
      </c>
    </row>
    <row r="624" customFormat="false" ht="15" hidden="false" customHeight="false" outlineLevel="0" collapsed="false">
      <c r="A624" s="3" t="s">
        <v>2049</v>
      </c>
      <c r="B624" s="3" t="s">
        <v>48</v>
      </c>
      <c r="C624" s="3" t="s">
        <v>1664</v>
      </c>
      <c r="E624" s="3" t="s">
        <v>2050</v>
      </c>
      <c r="F624" s="3" t="s">
        <v>1986</v>
      </c>
      <c r="G624" s="3" t="s">
        <v>1575</v>
      </c>
      <c r="H624" s="3" t="s">
        <v>1987</v>
      </c>
      <c r="I624" s="3" t="s">
        <v>2051</v>
      </c>
      <c r="M624" s="8" t="n">
        <v>278817</v>
      </c>
      <c r="N624" s="8" t="n">
        <v>305243</v>
      </c>
      <c r="O624" s="9" t="n">
        <v>12.4</v>
      </c>
      <c r="P624" s="9" t="n">
        <v>44</v>
      </c>
      <c r="R624" s="9" t="n">
        <v>1</v>
      </c>
      <c r="T624" s="10" t="n">
        <v>70.7</v>
      </c>
      <c r="U624" s="9" t="n">
        <v>3</v>
      </c>
      <c r="V624" s="3" t="s">
        <v>92</v>
      </c>
      <c r="W624" s="9" t="n">
        <v>0.75</v>
      </c>
      <c r="Z624" s="3" t="s">
        <v>1578</v>
      </c>
      <c r="AA624" s="3" t="s">
        <v>1989</v>
      </c>
      <c r="AB624" s="11" t="n">
        <v>46127</v>
      </c>
    </row>
    <row r="625" customFormat="false" ht="15" hidden="false" customHeight="false" outlineLevel="0" collapsed="false">
      <c r="A625" s="3" t="s">
        <v>2052</v>
      </c>
      <c r="B625" s="3" t="s">
        <v>48</v>
      </c>
      <c r="C625" s="3" t="s">
        <v>1668</v>
      </c>
      <c r="E625" s="3" t="s">
        <v>2053</v>
      </c>
      <c r="F625" s="3" t="s">
        <v>1986</v>
      </c>
      <c r="G625" s="3" t="s">
        <v>1575</v>
      </c>
      <c r="H625" s="3" t="s">
        <v>1987</v>
      </c>
      <c r="I625" s="3" t="s">
        <v>2054</v>
      </c>
      <c r="M625" s="8" t="n">
        <v>392647</v>
      </c>
      <c r="N625" s="8" t="n">
        <v>218067</v>
      </c>
      <c r="O625" s="9" t="n">
        <v>15.5</v>
      </c>
      <c r="P625" s="9" t="n">
        <v>60</v>
      </c>
      <c r="R625" s="9" t="n">
        <v>1</v>
      </c>
      <c r="T625" s="10" t="n">
        <v>62.2</v>
      </c>
      <c r="U625" s="9" t="n">
        <v>1</v>
      </c>
      <c r="V625" s="3" t="s">
        <v>62</v>
      </c>
      <c r="W625" s="9" t="n">
        <v>0.75</v>
      </c>
      <c r="Z625" s="3" t="s">
        <v>1578</v>
      </c>
      <c r="AA625" s="3" t="s">
        <v>1989</v>
      </c>
      <c r="AB625" s="11" t="n">
        <v>46127</v>
      </c>
    </row>
    <row r="626" customFormat="false" ht="15" hidden="false" customHeight="false" outlineLevel="0" collapsed="false">
      <c r="A626" s="3" t="s">
        <v>2055</v>
      </c>
      <c r="B626" s="3" t="s">
        <v>48</v>
      </c>
      <c r="C626" s="3" t="s">
        <v>1672</v>
      </c>
      <c r="E626" s="3" t="s">
        <v>2056</v>
      </c>
      <c r="F626" s="3" t="s">
        <v>1986</v>
      </c>
      <c r="G626" s="3" t="s">
        <v>1575</v>
      </c>
      <c r="H626" s="3" t="s">
        <v>1987</v>
      </c>
      <c r="I626" s="3" t="s">
        <v>2057</v>
      </c>
      <c r="M626" s="8" t="n">
        <v>158425</v>
      </c>
      <c r="N626" s="8" t="n">
        <v>188958</v>
      </c>
      <c r="O626" s="9" t="n">
        <v>3.2</v>
      </c>
      <c r="P626" s="9" t="n">
        <v>67</v>
      </c>
      <c r="R626" s="9" t="n">
        <v>3</v>
      </c>
      <c r="T626" s="10" t="n">
        <v>93.5</v>
      </c>
      <c r="U626" s="9" t="n">
        <v>2</v>
      </c>
      <c r="V626" s="3" t="s">
        <v>83</v>
      </c>
      <c r="W626" s="9" t="n">
        <v>0.75</v>
      </c>
      <c r="Z626" s="3" t="s">
        <v>1578</v>
      </c>
      <c r="AA626" s="3" t="s">
        <v>1989</v>
      </c>
      <c r="AB626" s="11" t="n">
        <v>46127</v>
      </c>
    </row>
    <row r="627" customFormat="false" ht="15" hidden="false" customHeight="false" outlineLevel="0" collapsed="false">
      <c r="A627" s="3" t="s">
        <v>2058</v>
      </c>
      <c r="B627" s="3" t="s">
        <v>48</v>
      </c>
      <c r="C627" s="3" t="s">
        <v>1676</v>
      </c>
      <c r="E627" s="3" t="s">
        <v>2059</v>
      </c>
      <c r="F627" s="3" t="s">
        <v>1986</v>
      </c>
      <c r="G627" s="3" t="s">
        <v>1575</v>
      </c>
      <c r="H627" s="3" t="s">
        <v>1987</v>
      </c>
      <c r="I627" s="3" t="s">
        <v>2060</v>
      </c>
      <c r="M627" s="8" t="n">
        <v>265317</v>
      </c>
      <c r="N627" s="8" t="n">
        <v>247838</v>
      </c>
      <c r="O627" s="9" t="n">
        <v>17.5</v>
      </c>
      <c r="P627" s="9" t="n">
        <v>47</v>
      </c>
      <c r="R627" s="9" t="n">
        <v>1</v>
      </c>
      <c r="T627" s="10" t="n">
        <v>39.9</v>
      </c>
      <c r="U627" s="9" t="n">
        <v>10</v>
      </c>
      <c r="V627" s="3" t="s">
        <v>62</v>
      </c>
      <c r="W627" s="9" t="n">
        <v>0.75</v>
      </c>
      <c r="Z627" s="3" t="s">
        <v>1578</v>
      </c>
      <c r="AA627" s="3" t="s">
        <v>1989</v>
      </c>
      <c r="AB627" s="11" t="n">
        <v>46127</v>
      </c>
    </row>
    <row r="628" customFormat="false" ht="15" hidden="false" customHeight="false" outlineLevel="0" collapsed="false">
      <c r="A628" s="3" t="s">
        <v>2061</v>
      </c>
      <c r="B628" s="3" t="s">
        <v>48</v>
      </c>
      <c r="C628" s="3" t="s">
        <v>1680</v>
      </c>
      <c r="E628" s="3" t="s">
        <v>2062</v>
      </c>
      <c r="F628" s="3" t="s">
        <v>1986</v>
      </c>
      <c r="G628" s="3" t="s">
        <v>1575</v>
      </c>
      <c r="H628" s="3" t="s">
        <v>1987</v>
      </c>
      <c r="I628" s="3" t="s">
        <v>2063</v>
      </c>
      <c r="M628" s="8" t="n">
        <v>98043</v>
      </c>
      <c r="N628" s="8" t="n">
        <v>826928</v>
      </c>
      <c r="O628" s="9" t="n">
        <v>26.6</v>
      </c>
      <c r="P628" s="9" t="n">
        <v>39</v>
      </c>
      <c r="R628" s="9" t="n">
        <v>1</v>
      </c>
      <c r="T628" s="10" t="n">
        <v>69.9</v>
      </c>
      <c r="U628" s="9" t="n">
        <v>2</v>
      </c>
      <c r="V628" s="3" t="s">
        <v>62</v>
      </c>
      <c r="W628" s="9" t="n">
        <v>0.75</v>
      </c>
      <c r="Z628" s="3" t="s">
        <v>1578</v>
      </c>
      <c r="AA628" s="3" t="s">
        <v>1989</v>
      </c>
      <c r="AB628" s="11" t="n">
        <v>46127</v>
      </c>
    </row>
    <row r="629" customFormat="false" ht="15" hidden="false" customHeight="false" outlineLevel="0" collapsed="false">
      <c r="A629" s="3" t="s">
        <v>2064</v>
      </c>
      <c r="B629" s="3" t="s">
        <v>48</v>
      </c>
      <c r="C629" s="3" t="s">
        <v>1684</v>
      </c>
      <c r="E629" s="3" t="s">
        <v>2065</v>
      </c>
      <c r="F629" s="3" t="s">
        <v>1986</v>
      </c>
      <c r="G629" s="3" t="s">
        <v>1575</v>
      </c>
      <c r="H629" s="3" t="s">
        <v>1987</v>
      </c>
      <c r="I629" s="3" t="s">
        <v>1258</v>
      </c>
      <c r="M629" s="8" t="n">
        <v>144197</v>
      </c>
      <c r="N629" s="8" t="n">
        <v>190258</v>
      </c>
      <c r="O629" s="9" t="n">
        <v>16.9</v>
      </c>
      <c r="P629" s="9" t="n">
        <v>46</v>
      </c>
      <c r="R629" s="9" t="n">
        <v>1</v>
      </c>
      <c r="T629" s="10" t="n">
        <v>56.1</v>
      </c>
      <c r="U629" s="9" t="n">
        <v>4</v>
      </c>
      <c r="V629" s="3" t="s">
        <v>62</v>
      </c>
      <c r="W629" s="9" t="n">
        <v>0.75</v>
      </c>
      <c r="Z629" s="3" t="s">
        <v>1578</v>
      </c>
      <c r="AA629" s="3" t="s">
        <v>1989</v>
      </c>
      <c r="AB629" s="11" t="n">
        <v>46127</v>
      </c>
    </row>
    <row r="630" customFormat="false" ht="15" hidden="false" customHeight="false" outlineLevel="0" collapsed="false">
      <c r="A630" s="3" t="s">
        <v>2066</v>
      </c>
      <c r="B630" s="3" t="s">
        <v>48</v>
      </c>
      <c r="C630" s="3" t="s">
        <v>1688</v>
      </c>
      <c r="E630" s="3" t="s">
        <v>2067</v>
      </c>
      <c r="F630" s="3" t="s">
        <v>1986</v>
      </c>
      <c r="G630" s="3" t="s">
        <v>1575</v>
      </c>
      <c r="H630" s="3" t="s">
        <v>1987</v>
      </c>
      <c r="I630" s="3" t="s">
        <v>2068</v>
      </c>
      <c r="M630" s="8" t="n">
        <v>220906</v>
      </c>
      <c r="N630" s="8" t="n">
        <v>353435</v>
      </c>
      <c r="O630" s="9" t="n">
        <v>16.9</v>
      </c>
      <c r="P630" s="9" t="n">
        <v>46</v>
      </c>
      <c r="R630" s="9" t="n">
        <v>1</v>
      </c>
      <c r="T630" s="10" t="n">
        <v>37</v>
      </c>
      <c r="U630" s="9" t="n">
        <v>5</v>
      </c>
      <c r="V630" s="3" t="s">
        <v>83</v>
      </c>
      <c r="W630" s="9" t="n">
        <v>0.75</v>
      </c>
      <c r="Z630" s="3" t="s">
        <v>1578</v>
      </c>
      <c r="AA630" s="3" t="s">
        <v>1989</v>
      </c>
      <c r="AB630" s="11" t="n">
        <v>46127</v>
      </c>
    </row>
    <row r="631" customFormat="false" ht="15" hidden="false" customHeight="false" outlineLevel="0" collapsed="false">
      <c r="A631" s="3" t="s">
        <v>2069</v>
      </c>
      <c r="B631" s="3" t="s">
        <v>48</v>
      </c>
      <c r="C631" s="3" t="s">
        <v>1692</v>
      </c>
      <c r="E631" s="3" t="s">
        <v>2070</v>
      </c>
      <c r="F631" s="3" t="s">
        <v>1986</v>
      </c>
      <c r="G631" s="3" t="s">
        <v>1575</v>
      </c>
      <c r="H631" s="3" t="s">
        <v>1987</v>
      </c>
      <c r="I631" s="3" t="s">
        <v>2071</v>
      </c>
      <c r="M631" s="8" t="n">
        <v>417373</v>
      </c>
      <c r="N631" s="8" t="n">
        <v>199834</v>
      </c>
      <c r="O631" s="9" t="n">
        <v>12.8</v>
      </c>
      <c r="P631" s="9" t="n">
        <v>58</v>
      </c>
      <c r="R631" s="9" t="n">
        <v>1</v>
      </c>
      <c r="T631" s="10" t="n">
        <v>19.6</v>
      </c>
      <c r="U631" s="9" t="n">
        <v>2</v>
      </c>
      <c r="V631" s="3" t="s">
        <v>83</v>
      </c>
      <c r="W631" s="9" t="n">
        <v>0.75</v>
      </c>
      <c r="Z631" s="3" t="s">
        <v>1578</v>
      </c>
      <c r="AA631" s="3" t="s">
        <v>1989</v>
      </c>
      <c r="AB631" s="11" t="n">
        <v>46127</v>
      </c>
    </row>
    <row r="632" customFormat="false" ht="15" hidden="false" customHeight="false" outlineLevel="0" collapsed="false">
      <c r="A632" s="3" t="s">
        <v>2072</v>
      </c>
      <c r="B632" s="3" t="s">
        <v>48</v>
      </c>
      <c r="C632" s="3" t="s">
        <v>1695</v>
      </c>
      <c r="E632" s="3" t="s">
        <v>2073</v>
      </c>
      <c r="F632" s="3" t="s">
        <v>1986</v>
      </c>
      <c r="G632" s="3" t="s">
        <v>1575</v>
      </c>
      <c r="H632" s="3" t="s">
        <v>1987</v>
      </c>
      <c r="I632" s="3" t="s">
        <v>2074</v>
      </c>
      <c r="M632" s="8" t="n">
        <v>384210</v>
      </c>
      <c r="N632" s="8" t="n">
        <v>262237</v>
      </c>
      <c r="O632" s="9" t="n">
        <v>9.5</v>
      </c>
      <c r="P632" s="9" t="n">
        <v>57</v>
      </c>
      <c r="R632" s="9" t="n">
        <v>1</v>
      </c>
      <c r="T632" s="10" t="n">
        <v>17.4</v>
      </c>
      <c r="U632" s="9" t="n">
        <v>6</v>
      </c>
      <c r="V632" s="3" t="s">
        <v>55</v>
      </c>
      <c r="W632" s="9" t="n">
        <v>0.75</v>
      </c>
      <c r="Z632" s="3" t="s">
        <v>1578</v>
      </c>
      <c r="AA632" s="3" t="s">
        <v>1989</v>
      </c>
      <c r="AB632" s="11" t="n">
        <v>46127</v>
      </c>
    </row>
    <row r="633" customFormat="false" ht="15" hidden="false" customHeight="false" outlineLevel="0" collapsed="false">
      <c r="A633" s="3" t="s">
        <v>2075</v>
      </c>
      <c r="B633" s="3" t="s">
        <v>48</v>
      </c>
      <c r="C633" s="3" t="s">
        <v>1699</v>
      </c>
      <c r="E633" s="3" t="s">
        <v>2076</v>
      </c>
      <c r="F633" s="3" t="s">
        <v>1986</v>
      </c>
      <c r="G633" s="3" t="s">
        <v>1575</v>
      </c>
      <c r="H633" s="3" t="s">
        <v>1987</v>
      </c>
      <c r="I633" s="3" t="s">
        <v>2077</v>
      </c>
      <c r="M633" s="8" t="n">
        <v>389524</v>
      </c>
      <c r="N633" s="8" t="n">
        <v>125784</v>
      </c>
      <c r="O633" s="9" t="n">
        <v>18.9</v>
      </c>
      <c r="P633" s="9" t="n">
        <v>54</v>
      </c>
      <c r="R633" s="9" t="n">
        <v>1</v>
      </c>
      <c r="T633" s="10" t="n">
        <v>24.3</v>
      </c>
      <c r="U633" s="9" t="n">
        <v>5</v>
      </c>
      <c r="V633" s="3" t="s">
        <v>55</v>
      </c>
      <c r="W633" s="9" t="n">
        <v>0.75</v>
      </c>
      <c r="Z633" s="3" t="s">
        <v>1578</v>
      </c>
      <c r="AA633" s="3" t="s">
        <v>1989</v>
      </c>
      <c r="AB633" s="11" t="n">
        <v>46127</v>
      </c>
    </row>
    <row r="634" customFormat="false" ht="15" hidden="false" customHeight="false" outlineLevel="0" collapsed="false">
      <c r="A634" s="3" t="s">
        <v>2078</v>
      </c>
      <c r="B634" s="3" t="s">
        <v>48</v>
      </c>
      <c r="C634" s="3" t="s">
        <v>1703</v>
      </c>
      <c r="E634" s="3" t="s">
        <v>2079</v>
      </c>
      <c r="F634" s="3" t="s">
        <v>1986</v>
      </c>
      <c r="G634" s="3" t="s">
        <v>1575</v>
      </c>
      <c r="H634" s="3" t="s">
        <v>1987</v>
      </c>
      <c r="I634" s="3" t="s">
        <v>2080</v>
      </c>
      <c r="M634" s="8" t="n">
        <v>300364</v>
      </c>
      <c r="N634" s="8" t="n">
        <v>105479</v>
      </c>
      <c r="O634" s="9" t="n">
        <v>22.1</v>
      </c>
      <c r="P634" s="9" t="n">
        <v>63</v>
      </c>
      <c r="R634" s="9" t="n">
        <v>1</v>
      </c>
      <c r="T634" s="10" t="n">
        <v>21</v>
      </c>
      <c r="U634" s="9" t="n">
        <v>5</v>
      </c>
      <c r="V634" s="3" t="s">
        <v>83</v>
      </c>
      <c r="W634" s="9" t="n">
        <v>0.75</v>
      </c>
      <c r="Z634" s="3" t="s">
        <v>1578</v>
      </c>
      <c r="AA634" s="3" t="s">
        <v>1989</v>
      </c>
      <c r="AB634" s="11" t="n">
        <v>46127</v>
      </c>
    </row>
    <row r="635" customFormat="false" ht="15" hidden="false" customHeight="false" outlineLevel="0" collapsed="false">
      <c r="A635" s="3" t="s">
        <v>2081</v>
      </c>
      <c r="B635" s="3" t="s">
        <v>48</v>
      </c>
      <c r="C635" s="3" t="s">
        <v>1707</v>
      </c>
      <c r="E635" s="3" t="s">
        <v>2082</v>
      </c>
      <c r="F635" s="3" t="s">
        <v>1986</v>
      </c>
      <c r="G635" s="3" t="s">
        <v>1575</v>
      </c>
      <c r="H635" s="3" t="s">
        <v>1987</v>
      </c>
      <c r="I635" s="3" t="s">
        <v>2083</v>
      </c>
      <c r="M635" s="8" t="n">
        <v>632542</v>
      </c>
      <c r="N635" s="8" t="n">
        <v>254697</v>
      </c>
      <c r="O635" s="9" t="n">
        <v>5.9</v>
      </c>
      <c r="P635" s="9" t="n">
        <v>46</v>
      </c>
      <c r="R635" s="9" t="n">
        <v>1</v>
      </c>
      <c r="T635" s="10" t="n">
        <v>79.4</v>
      </c>
      <c r="U635" s="9" t="n">
        <v>3</v>
      </c>
      <c r="V635" s="3" t="s">
        <v>92</v>
      </c>
      <c r="W635" s="9" t="n">
        <v>0.75</v>
      </c>
      <c r="Z635" s="3" t="s">
        <v>1578</v>
      </c>
      <c r="AA635" s="3" t="s">
        <v>1989</v>
      </c>
      <c r="AB635" s="11" t="n">
        <v>46127</v>
      </c>
    </row>
    <row r="636" customFormat="false" ht="15" hidden="false" customHeight="false" outlineLevel="0" collapsed="false">
      <c r="A636" s="3" t="s">
        <v>2084</v>
      </c>
      <c r="B636" s="3" t="s">
        <v>48</v>
      </c>
      <c r="C636" s="3" t="s">
        <v>1711</v>
      </c>
      <c r="E636" s="3" t="s">
        <v>2085</v>
      </c>
      <c r="F636" s="3" t="s">
        <v>1986</v>
      </c>
      <c r="G636" s="3" t="s">
        <v>1575</v>
      </c>
      <c r="H636" s="3" t="s">
        <v>1987</v>
      </c>
      <c r="I636" s="3" t="s">
        <v>2086</v>
      </c>
      <c r="M636" s="8" t="n">
        <v>404524</v>
      </c>
      <c r="N636" s="8" t="n">
        <v>110908</v>
      </c>
      <c r="O636" s="9" t="n">
        <v>16</v>
      </c>
      <c r="P636" s="9" t="n">
        <v>39</v>
      </c>
      <c r="R636" s="9" t="n">
        <v>1</v>
      </c>
      <c r="T636" s="10" t="n">
        <v>26.3</v>
      </c>
      <c r="U636" s="9" t="n">
        <v>6</v>
      </c>
      <c r="V636" s="3" t="s">
        <v>55</v>
      </c>
      <c r="W636" s="9" t="n">
        <v>0.75</v>
      </c>
      <c r="Z636" s="3" t="s">
        <v>1578</v>
      </c>
      <c r="AA636" s="3" t="s">
        <v>1989</v>
      </c>
      <c r="AB636" s="11" t="n">
        <v>46127</v>
      </c>
    </row>
    <row r="637" customFormat="false" ht="15" hidden="false" customHeight="false" outlineLevel="0" collapsed="false">
      <c r="A637" s="3" t="s">
        <v>2087</v>
      </c>
      <c r="B637" s="3" t="s">
        <v>48</v>
      </c>
      <c r="C637" s="3" t="s">
        <v>1715</v>
      </c>
      <c r="E637" s="3" t="s">
        <v>2088</v>
      </c>
      <c r="F637" s="3" t="s">
        <v>1986</v>
      </c>
      <c r="G637" s="3" t="s">
        <v>1575</v>
      </c>
      <c r="H637" s="3" t="s">
        <v>1987</v>
      </c>
      <c r="I637" s="3" t="s">
        <v>2089</v>
      </c>
      <c r="M637" s="8" t="n">
        <v>271623</v>
      </c>
      <c r="N637" s="8" t="n">
        <v>316833</v>
      </c>
      <c r="O637" s="9" t="n">
        <v>9.1</v>
      </c>
      <c r="P637" s="9" t="n">
        <v>55</v>
      </c>
      <c r="R637" s="9" t="n">
        <v>1</v>
      </c>
      <c r="T637" s="10" t="n">
        <v>22.7</v>
      </c>
      <c r="U637" s="9" t="n">
        <v>7</v>
      </c>
      <c r="V637" s="3" t="s">
        <v>83</v>
      </c>
      <c r="W637" s="9" t="n">
        <v>0.75</v>
      </c>
      <c r="Z637" s="3" t="s">
        <v>1578</v>
      </c>
      <c r="AA637" s="3" t="s">
        <v>1989</v>
      </c>
      <c r="AB637" s="11" t="n">
        <v>46127</v>
      </c>
    </row>
    <row r="638" customFormat="false" ht="15" hidden="false" customHeight="false" outlineLevel="0" collapsed="false">
      <c r="A638" s="3" t="s">
        <v>2090</v>
      </c>
      <c r="B638" s="3" t="s">
        <v>48</v>
      </c>
      <c r="C638" s="3" t="s">
        <v>1719</v>
      </c>
      <c r="E638" s="3" t="s">
        <v>2091</v>
      </c>
      <c r="F638" s="3" t="s">
        <v>1986</v>
      </c>
      <c r="G638" s="3" t="s">
        <v>1575</v>
      </c>
      <c r="H638" s="3" t="s">
        <v>1987</v>
      </c>
      <c r="I638" s="3" t="s">
        <v>2092</v>
      </c>
      <c r="M638" s="8" t="n">
        <v>106504</v>
      </c>
      <c r="N638" s="8" t="n">
        <v>352486</v>
      </c>
      <c r="O638" s="9" t="n">
        <v>1.4</v>
      </c>
      <c r="P638" s="9" t="n">
        <v>39</v>
      </c>
      <c r="R638" s="9" t="n">
        <v>1</v>
      </c>
      <c r="T638" s="10" t="n">
        <v>18.5</v>
      </c>
      <c r="U638" s="9" t="n">
        <v>4</v>
      </c>
      <c r="V638" s="3" t="s">
        <v>83</v>
      </c>
      <c r="W638" s="9" t="n">
        <v>0.75</v>
      </c>
      <c r="Z638" s="3" t="s">
        <v>1578</v>
      </c>
      <c r="AA638" s="3" t="s">
        <v>1989</v>
      </c>
      <c r="AB638" s="11" t="n">
        <v>46127</v>
      </c>
    </row>
    <row r="639" customFormat="false" ht="15" hidden="false" customHeight="false" outlineLevel="0" collapsed="false">
      <c r="A639" s="3" t="s">
        <v>2093</v>
      </c>
      <c r="B639" s="3" t="s">
        <v>48</v>
      </c>
      <c r="C639" s="3" t="s">
        <v>1723</v>
      </c>
      <c r="E639" s="3" t="s">
        <v>2094</v>
      </c>
      <c r="F639" s="3" t="s">
        <v>1986</v>
      </c>
      <c r="G639" s="3" t="s">
        <v>1575</v>
      </c>
      <c r="H639" s="3" t="s">
        <v>1987</v>
      </c>
      <c r="I639" s="3" t="s">
        <v>2095</v>
      </c>
      <c r="M639" s="8" t="n">
        <v>681930</v>
      </c>
      <c r="N639" s="8" t="n">
        <v>315132</v>
      </c>
      <c r="O639" s="9" t="n">
        <v>8.7</v>
      </c>
      <c r="P639" s="9" t="n">
        <v>71</v>
      </c>
      <c r="R639" s="9" t="n">
        <v>1</v>
      </c>
      <c r="T639" s="10" t="n">
        <v>35.6</v>
      </c>
      <c r="U639" s="9" t="n">
        <v>10</v>
      </c>
      <c r="V639" s="3" t="s">
        <v>83</v>
      </c>
      <c r="W639" s="9" t="n">
        <v>0.75</v>
      </c>
      <c r="Z639" s="3" t="s">
        <v>1578</v>
      </c>
      <c r="AA639" s="3" t="s">
        <v>1989</v>
      </c>
      <c r="AB639" s="11" t="n">
        <v>46127</v>
      </c>
    </row>
    <row r="640" customFormat="false" ht="15" hidden="false" customHeight="false" outlineLevel="0" collapsed="false">
      <c r="A640" s="3" t="s">
        <v>2096</v>
      </c>
      <c r="B640" s="3" t="s">
        <v>48</v>
      </c>
      <c r="C640" s="3" t="s">
        <v>1727</v>
      </c>
      <c r="E640" s="3" t="s">
        <v>2097</v>
      </c>
      <c r="F640" s="3" t="s">
        <v>1986</v>
      </c>
      <c r="G640" s="3" t="s">
        <v>1575</v>
      </c>
      <c r="H640" s="3" t="s">
        <v>1987</v>
      </c>
      <c r="I640" s="3" t="s">
        <v>2098</v>
      </c>
      <c r="M640" s="8" t="n">
        <v>522793</v>
      </c>
      <c r="N640" s="8" t="n">
        <v>370185</v>
      </c>
      <c r="O640" s="9" t="n">
        <v>23.8</v>
      </c>
      <c r="P640" s="9" t="n">
        <v>44</v>
      </c>
      <c r="R640" s="9" t="n">
        <v>1</v>
      </c>
      <c r="T640" s="10" t="n">
        <v>83.3</v>
      </c>
      <c r="U640" s="9" t="n">
        <v>2</v>
      </c>
      <c r="V640" s="3" t="s">
        <v>83</v>
      </c>
      <c r="W640" s="9" t="n">
        <v>0.75</v>
      </c>
      <c r="Z640" s="3" t="s">
        <v>1578</v>
      </c>
      <c r="AA640" s="3" t="s">
        <v>1989</v>
      </c>
      <c r="AB640" s="11" t="n">
        <v>46127</v>
      </c>
    </row>
    <row r="641" customFormat="false" ht="15" hidden="false" customHeight="false" outlineLevel="0" collapsed="false">
      <c r="A641" s="3" t="s">
        <v>2099</v>
      </c>
      <c r="B641" s="3" t="s">
        <v>48</v>
      </c>
      <c r="C641" s="3" t="s">
        <v>1731</v>
      </c>
      <c r="E641" s="3" t="s">
        <v>2100</v>
      </c>
      <c r="F641" s="3" t="s">
        <v>1986</v>
      </c>
      <c r="G641" s="3" t="s">
        <v>1575</v>
      </c>
      <c r="H641" s="3" t="s">
        <v>1987</v>
      </c>
      <c r="I641" s="3" t="s">
        <v>2101</v>
      </c>
      <c r="M641" s="8" t="n">
        <v>270362</v>
      </c>
      <c r="N641" s="8" t="n">
        <v>95268</v>
      </c>
      <c r="O641" s="9" t="n">
        <v>8.5</v>
      </c>
      <c r="P641" s="9" t="n">
        <v>50</v>
      </c>
      <c r="R641" s="9" t="n">
        <v>1</v>
      </c>
      <c r="T641" s="10" t="n">
        <v>62.8</v>
      </c>
      <c r="U641" s="9" t="n">
        <v>8</v>
      </c>
      <c r="V641" s="3" t="s">
        <v>83</v>
      </c>
      <c r="W641" s="9" t="n">
        <v>0.75</v>
      </c>
      <c r="Z641" s="3" t="s">
        <v>1578</v>
      </c>
      <c r="AA641" s="3" t="s">
        <v>1989</v>
      </c>
      <c r="AB641" s="11" t="n">
        <v>46127</v>
      </c>
    </row>
    <row r="642" customFormat="false" ht="15" hidden="false" customHeight="false" outlineLevel="0" collapsed="false">
      <c r="A642" s="3" t="s">
        <v>2102</v>
      </c>
      <c r="B642" s="3" t="s">
        <v>48</v>
      </c>
      <c r="C642" s="3" t="s">
        <v>1735</v>
      </c>
      <c r="E642" s="3" t="s">
        <v>1204</v>
      </c>
      <c r="F642" s="3" t="s">
        <v>1986</v>
      </c>
      <c r="G642" s="3" t="s">
        <v>1575</v>
      </c>
      <c r="H642" s="3" t="s">
        <v>1987</v>
      </c>
      <c r="I642" s="3" t="s">
        <v>2103</v>
      </c>
      <c r="M642" s="8" t="n">
        <v>135882</v>
      </c>
      <c r="N642" s="8" t="n">
        <v>590431</v>
      </c>
      <c r="O642" s="9" t="n">
        <v>28.7</v>
      </c>
      <c r="P642" s="9" t="n">
        <v>37</v>
      </c>
      <c r="R642" s="9" t="n">
        <v>1</v>
      </c>
      <c r="T642" s="10" t="n">
        <v>81.1</v>
      </c>
      <c r="U642" s="9" t="n">
        <v>2</v>
      </c>
      <c r="V642" s="3" t="s">
        <v>55</v>
      </c>
      <c r="W642" s="9" t="n">
        <v>0.75</v>
      </c>
      <c r="Z642" s="3" t="s">
        <v>1578</v>
      </c>
      <c r="AA642" s="3" t="s">
        <v>1989</v>
      </c>
      <c r="AB642" s="11" t="n">
        <v>46127</v>
      </c>
    </row>
    <row r="643" customFormat="false" ht="15" hidden="false" customHeight="false" outlineLevel="0" collapsed="false">
      <c r="A643" s="3" t="s">
        <v>2104</v>
      </c>
      <c r="B643" s="3" t="s">
        <v>48</v>
      </c>
      <c r="C643" s="3" t="s">
        <v>1739</v>
      </c>
      <c r="E643" s="3" t="s">
        <v>2105</v>
      </c>
      <c r="F643" s="3" t="s">
        <v>1986</v>
      </c>
      <c r="G643" s="3" t="s">
        <v>1575</v>
      </c>
      <c r="H643" s="3" t="s">
        <v>1987</v>
      </c>
      <c r="I643" s="3" t="s">
        <v>2106</v>
      </c>
      <c r="M643" s="8" t="n">
        <v>460266</v>
      </c>
      <c r="N643" s="8" t="n">
        <v>22298</v>
      </c>
      <c r="O643" s="9" t="n">
        <v>23.2</v>
      </c>
      <c r="P643" s="9" t="n">
        <v>50</v>
      </c>
      <c r="R643" s="9" t="n">
        <v>1</v>
      </c>
      <c r="T643" s="10" t="n">
        <v>32.7</v>
      </c>
      <c r="U643" s="9" t="n">
        <v>6</v>
      </c>
      <c r="V643" s="3" t="s">
        <v>55</v>
      </c>
      <c r="W643" s="9" t="n">
        <v>0.75</v>
      </c>
      <c r="Z643" s="3" t="s">
        <v>1578</v>
      </c>
      <c r="AA643" s="3" t="s">
        <v>1989</v>
      </c>
      <c r="AB643" s="11" t="n">
        <v>46127</v>
      </c>
    </row>
    <row r="644" customFormat="false" ht="15" hidden="false" customHeight="false" outlineLevel="0" collapsed="false">
      <c r="A644" s="3" t="s">
        <v>2107</v>
      </c>
      <c r="B644" s="3" t="s">
        <v>48</v>
      </c>
      <c r="C644" s="3" t="s">
        <v>1743</v>
      </c>
      <c r="E644" s="3" t="s">
        <v>2108</v>
      </c>
      <c r="F644" s="3" t="s">
        <v>1986</v>
      </c>
      <c r="G644" s="3" t="s">
        <v>1575</v>
      </c>
      <c r="H644" s="3" t="s">
        <v>1987</v>
      </c>
      <c r="I644" s="3" t="s">
        <v>2109</v>
      </c>
      <c r="M644" s="8" t="n">
        <v>490731</v>
      </c>
      <c r="N644" s="8" t="n">
        <v>338607</v>
      </c>
      <c r="O644" s="9" t="n">
        <v>2.1</v>
      </c>
      <c r="P644" s="9" t="n">
        <v>65</v>
      </c>
      <c r="R644" s="9" t="n">
        <v>1</v>
      </c>
      <c r="T644" s="10" t="n">
        <v>70.7</v>
      </c>
      <c r="U644" s="9" t="n">
        <v>8</v>
      </c>
      <c r="V644" s="3" t="s">
        <v>62</v>
      </c>
      <c r="W644" s="9" t="n">
        <v>0.75</v>
      </c>
      <c r="Z644" s="3" t="s">
        <v>1578</v>
      </c>
      <c r="AA644" s="3" t="s">
        <v>1989</v>
      </c>
      <c r="AB644" s="11" t="n">
        <v>46127</v>
      </c>
    </row>
    <row r="645" customFormat="false" ht="15" hidden="false" customHeight="false" outlineLevel="0" collapsed="false">
      <c r="A645" s="3" t="s">
        <v>2110</v>
      </c>
      <c r="B645" s="3" t="s">
        <v>48</v>
      </c>
      <c r="C645" s="3" t="s">
        <v>1747</v>
      </c>
      <c r="E645" s="3" t="s">
        <v>2111</v>
      </c>
      <c r="F645" s="3" t="s">
        <v>1986</v>
      </c>
      <c r="G645" s="3" t="s">
        <v>1575</v>
      </c>
      <c r="H645" s="3" t="s">
        <v>1987</v>
      </c>
      <c r="I645" s="3" t="s">
        <v>2112</v>
      </c>
      <c r="M645" s="8" t="n">
        <v>434257</v>
      </c>
      <c r="N645" s="8" t="n">
        <v>254102</v>
      </c>
      <c r="O645" s="9" t="n">
        <v>10.2</v>
      </c>
      <c r="P645" s="9" t="n">
        <v>47</v>
      </c>
      <c r="R645" s="9" t="n">
        <v>1</v>
      </c>
      <c r="T645" s="10" t="n">
        <v>38.1</v>
      </c>
      <c r="U645" s="9" t="n">
        <v>4</v>
      </c>
      <c r="V645" s="3" t="s">
        <v>62</v>
      </c>
      <c r="W645" s="9" t="n">
        <v>0.75</v>
      </c>
      <c r="Z645" s="3" t="s">
        <v>1578</v>
      </c>
      <c r="AA645" s="3" t="s">
        <v>1989</v>
      </c>
      <c r="AB645" s="11" t="n">
        <v>46127</v>
      </c>
    </row>
    <row r="646" customFormat="false" ht="15" hidden="false" customHeight="false" outlineLevel="0" collapsed="false">
      <c r="A646" s="3" t="s">
        <v>2113</v>
      </c>
      <c r="B646" s="3" t="s">
        <v>48</v>
      </c>
      <c r="C646" s="3" t="s">
        <v>1751</v>
      </c>
      <c r="E646" s="3" t="s">
        <v>2114</v>
      </c>
      <c r="F646" s="3" t="s">
        <v>1986</v>
      </c>
      <c r="G646" s="3" t="s">
        <v>1575</v>
      </c>
      <c r="H646" s="3" t="s">
        <v>1987</v>
      </c>
      <c r="I646" s="3" t="s">
        <v>2115</v>
      </c>
      <c r="M646" s="8" t="n">
        <v>574658</v>
      </c>
      <c r="N646" s="8" t="n">
        <v>267808</v>
      </c>
      <c r="O646" s="9" t="n">
        <v>9.8</v>
      </c>
      <c r="P646" s="9" t="n">
        <v>44</v>
      </c>
      <c r="R646" s="9" t="n">
        <v>1</v>
      </c>
      <c r="T646" s="10" t="n">
        <v>71.6</v>
      </c>
      <c r="U646" s="9" t="n">
        <v>4</v>
      </c>
      <c r="V646" s="3" t="s">
        <v>55</v>
      </c>
      <c r="W646" s="9" t="n">
        <v>0.75</v>
      </c>
      <c r="Z646" s="3" t="s">
        <v>1578</v>
      </c>
      <c r="AA646" s="3" t="s">
        <v>1989</v>
      </c>
      <c r="AB646" s="11" t="n">
        <v>46127</v>
      </c>
    </row>
    <row r="647" customFormat="false" ht="15" hidden="false" customHeight="false" outlineLevel="0" collapsed="false">
      <c r="A647" s="3" t="s">
        <v>2116</v>
      </c>
      <c r="B647" s="3" t="s">
        <v>48</v>
      </c>
      <c r="C647" s="3" t="s">
        <v>1755</v>
      </c>
      <c r="E647" s="3" t="s">
        <v>2117</v>
      </c>
      <c r="F647" s="3" t="s">
        <v>1986</v>
      </c>
      <c r="G647" s="3" t="s">
        <v>1575</v>
      </c>
      <c r="H647" s="3" t="s">
        <v>1987</v>
      </c>
      <c r="I647" s="3" t="s">
        <v>2118</v>
      </c>
      <c r="M647" s="8" t="n">
        <v>393778</v>
      </c>
      <c r="N647" s="8" t="n">
        <v>211694</v>
      </c>
      <c r="O647" s="9" t="n">
        <v>9.2</v>
      </c>
      <c r="P647" s="9" t="n">
        <v>48</v>
      </c>
      <c r="R647" s="9" t="n">
        <v>1</v>
      </c>
      <c r="T647" s="10" t="n">
        <v>30.2</v>
      </c>
      <c r="U647" s="9" t="n">
        <v>6</v>
      </c>
      <c r="V647" s="3" t="s">
        <v>83</v>
      </c>
      <c r="W647" s="9" t="n">
        <v>0.75</v>
      </c>
      <c r="Z647" s="3" t="s">
        <v>1578</v>
      </c>
      <c r="AA647" s="3" t="s">
        <v>1989</v>
      </c>
      <c r="AB647" s="11" t="n">
        <v>46127</v>
      </c>
    </row>
    <row r="648" customFormat="false" ht="15" hidden="false" customHeight="false" outlineLevel="0" collapsed="false">
      <c r="A648" s="3" t="s">
        <v>2119</v>
      </c>
      <c r="B648" s="3" t="s">
        <v>48</v>
      </c>
      <c r="C648" s="3" t="s">
        <v>1759</v>
      </c>
      <c r="E648" s="3" t="s">
        <v>2120</v>
      </c>
      <c r="F648" s="3" t="s">
        <v>1986</v>
      </c>
      <c r="G648" s="3" t="s">
        <v>1575</v>
      </c>
      <c r="H648" s="3" t="s">
        <v>1987</v>
      </c>
      <c r="I648" s="3" t="s">
        <v>671</v>
      </c>
      <c r="M648" s="8" t="n">
        <v>289989</v>
      </c>
      <c r="N648" s="8" t="n">
        <v>265034</v>
      </c>
      <c r="O648" s="9" t="n">
        <v>15.5</v>
      </c>
      <c r="P648" s="9" t="n">
        <v>37</v>
      </c>
      <c r="R648" s="9" t="n">
        <v>1</v>
      </c>
      <c r="T648" s="10" t="n">
        <v>69.4</v>
      </c>
      <c r="U648" s="9" t="n">
        <v>10</v>
      </c>
      <c r="V648" s="3" t="s">
        <v>55</v>
      </c>
      <c r="W648" s="9" t="n">
        <v>0.75</v>
      </c>
      <c r="Z648" s="3" t="s">
        <v>1578</v>
      </c>
      <c r="AA648" s="3" t="s">
        <v>1989</v>
      </c>
      <c r="AB648" s="11" t="n">
        <v>46127</v>
      </c>
    </row>
    <row r="649" customFormat="false" ht="15" hidden="false" customHeight="false" outlineLevel="0" collapsed="false">
      <c r="A649" s="3" t="s">
        <v>2121</v>
      </c>
      <c r="B649" s="3" t="s">
        <v>48</v>
      </c>
      <c r="C649" s="3" t="s">
        <v>1762</v>
      </c>
      <c r="E649" s="3" t="s">
        <v>2122</v>
      </c>
      <c r="F649" s="3" t="s">
        <v>1986</v>
      </c>
      <c r="G649" s="3" t="s">
        <v>1575</v>
      </c>
      <c r="H649" s="3" t="s">
        <v>1987</v>
      </c>
      <c r="I649" s="3" t="s">
        <v>2123</v>
      </c>
      <c r="M649" s="8" t="n">
        <v>217772</v>
      </c>
      <c r="N649" s="8" t="n">
        <v>616868</v>
      </c>
      <c r="O649" s="9" t="n">
        <v>20</v>
      </c>
      <c r="P649" s="9" t="n">
        <v>58</v>
      </c>
      <c r="R649" s="9" t="n">
        <v>1</v>
      </c>
      <c r="T649" s="10" t="n">
        <v>29.2</v>
      </c>
      <c r="U649" s="9" t="n">
        <v>9</v>
      </c>
      <c r="V649" s="3" t="s">
        <v>55</v>
      </c>
      <c r="W649" s="9" t="n">
        <v>0.75</v>
      </c>
      <c r="Z649" s="3" t="s">
        <v>1578</v>
      </c>
      <c r="AA649" s="3" t="s">
        <v>1989</v>
      </c>
      <c r="AB649" s="11" t="n">
        <v>46127</v>
      </c>
    </row>
    <row r="650" customFormat="false" ht="15" hidden="false" customHeight="false" outlineLevel="0" collapsed="false">
      <c r="A650" s="3" t="s">
        <v>2124</v>
      </c>
      <c r="B650" s="3" t="s">
        <v>48</v>
      </c>
      <c r="C650" s="3" t="s">
        <v>1766</v>
      </c>
      <c r="E650" s="3" t="s">
        <v>2125</v>
      </c>
      <c r="F650" s="3" t="s">
        <v>1986</v>
      </c>
      <c r="G650" s="3" t="s">
        <v>1575</v>
      </c>
      <c r="H650" s="3" t="s">
        <v>1987</v>
      </c>
      <c r="I650" s="3" t="s">
        <v>2126</v>
      </c>
      <c r="M650" s="8" t="n">
        <v>116066</v>
      </c>
      <c r="N650" s="8" t="n">
        <v>255442</v>
      </c>
      <c r="O650" s="9" t="n">
        <v>20.1</v>
      </c>
      <c r="P650" s="9" t="n">
        <v>51</v>
      </c>
      <c r="R650" s="9" t="n">
        <v>1</v>
      </c>
      <c r="T650" s="10" t="n">
        <v>40.7</v>
      </c>
      <c r="U650" s="9" t="n">
        <v>2</v>
      </c>
      <c r="V650" s="3" t="s">
        <v>55</v>
      </c>
      <c r="W650" s="9" t="n">
        <v>0.75</v>
      </c>
      <c r="Z650" s="3" t="s">
        <v>1578</v>
      </c>
      <c r="AA650" s="3" t="s">
        <v>1989</v>
      </c>
      <c r="AB650" s="11" t="n">
        <v>46127</v>
      </c>
    </row>
    <row r="651" customFormat="false" ht="15" hidden="false" customHeight="false" outlineLevel="0" collapsed="false">
      <c r="A651" s="3" t="s">
        <v>2127</v>
      </c>
      <c r="B651" s="3" t="s">
        <v>48</v>
      </c>
      <c r="C651" s="3" t="s">
        <v>1770</v>
      </c>
      <c r="E651" s="3" t="s">
        <v>2128</v>
      </c>
      <c r="F651" s="3" t="s">
        <v>1986</v>
      </c>
      <c r="G651" s="3" t="s">
        <v>1575</v>
      </c>
      <c r="H651" s="3" t="s">
        <v>1987</v>
      </c>
      <c r="I651" s="3" t="s">
        <v>2129</v>
      </c>
      <c r="M651" s="8" t="n">
        <v>782125</v>
      </c>
      <c r="N651" s="8" t="n">
        <v>303409</v>
      </c>
      <c r="O651" s="9" t="n">
        <v>5.4</v>
      </c>
      <c r="P651" s="9" t="n">
        <v>76</v>
      </c>
      <c r="R651" s="9" t="n">
        <v>2</v>
      </c>
      <c r="T651" s="10" t="n">
        <v>63.2</v>
      </c>
      <c r="U651" s="9" t="n">
        <v>1</v>
      </c>
      <c r="V651" s="3" t="s">
        <v>62</v>
      </c>
      <c r="W651" s="9" t="n">
        <v>0.75</v>
      </c>
      <c r="Z651" s="3" t="s">
        <v>1578</v>
      </c>
      <c r="AA651" s="3" t="s">
        <v>1989</v>
      </c>
      <c r="AB651" s="11" t="n">
        <v>46127</v>
      </c>
    </row>
    <row r="652" customFormat="false" ht="15" hidden="false" customHeight="false" outlineLevel="0" collapsed="false">
      <c r="A652" s="3" t="s">
        <v>2130</v>
      </c>
      <c r="B652" s="3" t="s">
        <v>48</v>
      </c>
      <c r="C652" s="3" t="s">
        <v>1774</v>
      </c>
      <c r="E652" s="3" t="s">
        <v>2131</v>
      </c>
      <c r="F652" s="3" t="s">
        <v>1986</v>
      </c>
      <c r="G652" s="3" t="s">
        <v>1575</v>
      </c>
      <c r="H652" s="3" t="s">
        <v>1987</v>
      </c>
      <c r="I652" s="3" t="s">
        <v>2132</v>
      </c>
      <c r="M652" s="8" t="n">
        <v>189234</v>
      </c>
      <c r="N652" s="8" t="n">
        <v>133261</v>
      </c>
      <c r="O652" s="9" t="n">
        <v>16.3</v>
      </c>
      <c r="P652" s="9" t="n">
        <v>72</v>
      </c>
      <c r="R652" s="9" t="n">
        <v>1</v>
      </c>
      <c r="T652" s="10" t="n">
        <v>52.2</v>
      </c>
      <c r="U652" s="9" t="n">
        <v>10</v>
      </c>
      <c r="V652" s="3" t="s">
        <v>55</v>
      </c>
      <c r="W652" s="9" t="n">
        <v>0.75</v>
      </c>
      <c r="Z652" s="3" t="s">
        <v>1578</v>
      </c>
      <c r="AA652" s="3" t="s">
        <v>1989</v>
      </c>
      <c r="AB652" s="11" t="n">
        <v>46127</v>
      </c>
    </row>
    <row r="653" customFormat="false" ht="15" hidden="false" customHeight="false" outlineLevel="0" collapsed="false">
      <c r="A653" s="3" t="s">
        <v>2133</v>
      </c>
      <c r="B653" s="3" t="s">
        <v>48</v>
      </c>
      <c r="C653" s="3" t="s">
        <v>1778</v>
      </c>
      <c r="E653" s="3" t="s">
        <v>2134</v>
      </c>
      <c r="F653" s="3" t="s">
        <v>1986</v>
      </c>
      <c r="G653" s="3" t="s">
        <v>1575</v>
      </c>
      <c r="H653" s="3" t="s">
        <v>1987</v>
      </c>
      <c r="I653" s="3" t="s">
        <v>2135</v>
      </c>
      <c r="M653" s="8" t="n">
        <v>146538</v>
      </c>
      <c r="N653" s="8" t="n">
        <v>175891</v>
      </c>
      <c r="O653" s="9" t="n">
        <v>8.9</v>
      </c>
      <c r="P653" s="9" t="n">
        <v>61</v>
      </c>
      <c r="R653" s="9" t="n">
        <v>1</v>
      </c>
      <c r="T653" s="10" t="n">
        <v>91.7</v>
      </c>
      <c r="U653" s="9" t="n">
        <v>4</v>
      </c>
      <c r="V653" s="3" t="s">
        <v>92</v>
      </c>
      <c r="W653" s="9" t="n">
        <v>0.75</v>
      </c>
      <c r="Z653" s="3" t="s">
        <v>1578</v>
      </c>
      <c r="AA653" s="3" t="s">
        <v>1989</v>
      </c>
      <c r="AB653" s="11" t="n">
        <v>46127</v>
      </c>
    </row>
    <row r="654" customFormat="false" ht="15" hidden="false" customHeight="false" outlineLevel="0" collapsed="false">
      <c r="A654" s="3" t="s">
        <v>2136</v>
      </c>
      <c r="B654" s="3" t="s">
        <v>48</v>
      </c>
      <c r="C654" s="3" t="s">
        <v>1782</v>
      </c>
      <c r="E654" s="3" t="s">
        <v>2137</v>
      </c>
      <c r="F654" s="3" t="s">
        <v>1986</v>
      </c>
      <c r="G654" s="3" t="s">
        <v>1575</v>
      </c>
      <c r="H654" s="3" t="s">
        <v>1987</v>
      </c>
      <c r="I654" s="3" t="s">
        <v>2138</v>
      </c>
      <c r="M654" s="8" t="n">
        <v>401529</v>
      </c>
      <c r="N654" s="8" t="n">
        <v>308061</v>
      </c>
      <c r="O654" s="9" t="n">
        <v>16.7</v>
      </c>
      <c r="P654" s="9" t="n">
        <v>51</v>
      </c>
      <c r="R654" s="9" t="n">
        <v>1</v>
      </c>
      <c r="T654" s="10" t="n">
        <v>49.8</v>
      </c>
      <c r="U654" s="9" t="n">
        <v>3</v>
      </c>
      <c r="V654" s="3" t="s">
        <v>83</v>
      </c>
      <c r="W654" s="9" t="n">
        <v>0.75</v>
      </c>
      <c r="Z654" s="3" t="s">
        <v>1578</v>
      </c>
      <c r="AA654" s="3" t="s">
        <v>1989</v>
      </c>
      <c r="AB654" s="11" t="n">
        <v>46127</v>
      </c>
    </row>
    <row r="655" customFormat="false" ht="15" hidden="false" customHeight="false" outlineLevel="0" collapsed="false">
      <c r="A655" s="3" t="s">
        <v>2139</v>
      </c>
      <c r="B655" s="3" t="s">
        <v>48</v>
      </c>
      <c r="C655" s="3" t="s">
        <v>1786</v>
      </c>
      <c r="E655" s="3" t="s">
        <v>2140</v>
      </c>
      <c r="F655" s="3" t="s">
        <v>1986</v>
      </c>
      <c r="G655" s="3" t="s">
        <v>1575</v>
      </c>
      <c r="H655" s="3" t="s">
        <v>1987</v>
      </c>
      <c r="I655" s="3" t="s">
        <v>2141</v>
      </c>
      <c r="M655" s="8" t="n">
        <v>169910</v>
      </c>
      <c r="N655" s="8" t="n">
        <v>305495</v>
      </c>
      <c r="O655" s="9" t="n">
        <v>22.6</v>
      </c>
      <c r="P655" s="9" t="n">
        <v>41</v>
      </c>
      <c r="R655" s="9" t="n">
        <v>1</v>
      </c>
      <c r="T655" s="10" t="n">
        <v>43.2</v>
      </c>
      <c r="U655" s="9" t="n">
        <v>2</v>
      </c>
      <c r="V655" s="3" t="s">
        <v>92</v>
      </c>
      <c r="W655" s="9" t="n">
        <v>0.75</v>
      </c>
      <c r="Z655" s="3" t="s">
        <v>1578</v>
      </c>
      <c r="AA655" s="3" t="s">
        <v>1989</v>
      </c>
      <c r="AB655" s="11" t="n">
        <v>46127</v>
      </c>
    </row>
    <row r="656" customFormat="false" ht="15" hidden="false" customHeight="false" outlineLevel="0" collapsed="false">
      <c r="A656" s="3" t="s">
        <v>2142</v>
      </c>
      <c r="B656" s="3" t="s">
        <v>48</v>
      </c>
      <c r="C656" s="3" t="s">
        <v>1790</v>
      </c>
      <c r="E656" s="3" t="s">
        <v>2143</v>
      </c>
      <c r="F656" s="3" t="s">
        <v>1986</v>
      </c>
      <c r="G656" s="3" t="s">
        <v>1575</v>
      </c>
      <c r="H656" s="3" t="s">
        <v>1987</v>
      </c>
      <c r="I656" s="3" t="s">
        <v>2144</v>
      </c>
      <c r="M656" s="8" t="n">
        <v>99056</v>
      </c>
      <c r="N656" s="8" t="n">
        <v>188954</v>
      </c>
      <c r="O656" s="9" t="n">
        <v>11.8</v>
      </c>
      <c r="P656" s="9" t="n">
        <v>57</v>
      </c>
      <c r="R656" s="9" t="n">
        <v>1</v>
      </c>
      <c r="T656" s="10" t="n">
        <v>42.7</v>
      </c>
      <c r="U656" s="9" t="n">
        <v>8</v>
      </c>
      <c r="V656" s="3" t="s">
        <v>92</v>
      </c>
      <c r="W656" s="9" t="n">
        <v>0.75</v>
      </c>
      <c r="Z656" s="3" t="s">
        <v>1578</v>
      </c>
      <c r="AA656" s="3" t="s">
        <v>1989</v>
      </c>
      <c r="AB656" s="11" t="n">
        <v>46127</v>
      </c>
    </row>
    <row r="657" customFormat="false" ht="15" hidden="false" customHeight="false" outlineLevel="0" collapsed="false">
      <c r="A657" s="3" t="s">
        <v>2145</v>
      </c>
      <c r="B657" s="3" t="s">
        <v>48</v>
      </c>
      <c r="C657" s="3" t="s">
        <v>1794</v>
      </c>
      <c r="E657" s="3" t="s">
        <v>2146</v>
      </c>
      <c r="F657" s="3" t="s">
        <v>1986</v>
      </c>
      <c r="G657" s="3" t="s">
        <v>1575</v>
      </c>
      <c r="H657" s="3" t="s">
        <v>1987</v>
      </c>
      <c r="I657" s="3" t="s">
        <v>2147</v>
      </c>
      <c r="M657" s="8" t="n">
        <v>366146</v>
      </c>
      <c r="N657" s="8" t="n">
        <v>241277</v>
      </c>
      <c r="O657" s="9" t="n">
        <v>20</v>
      </c>
      <c r="P657" s="9" t="n">
        <v>55</v>
      </c>
      <c r="R657" s="9" t="n">
        <v>1</v>
      </c>
      <c r="T657" s="10" t="n">
        <v>88.4</v>
      </c>
      <c r="U657" s="9" t="n">
        <v>10</v>
      </c>
      <c r="V657" s="3" t="s">
        <v>92</v>
      </c>
      <c r="W657" s="9" t="n">
        <v>0.75</v>
      </c>
      <c r="Z657" s="3" t="s">
        <v>1578</v>
      </c>
      <c r="AA657" s="3" t="s">
        <v>1989</v>
      </c>
      <c r="AB657" s="11" t="n">
        <v>46127</v>
      </c>
    </row>
    <row r="658" customFormat="false" ht="15" hidden="false" customHeight="false" outlineLevel="0" collapsed="false">
      <c r="A658" s="3" t="s">
        <v>2148</v>
      </c>
      <c r="B658" s="3" t="s">
        <v>48</v>
      </c>
      <c r="C658" s="3" t="s">
        <v>1798</v>
      </c>
      <c r="E658" s="3" t="s">
        <v>2149</v>
      </c>
      <c r="F658" s="3" t="s">
        <v>1986</v>
      </c>
      <c r="G658" s="3" t="s">
        <v>1575</v>
      </c>
      <c r="H658" s="3" t="s">
        <v>1987</v>
      </c>
      <c r="I658" s="3" t="s">
        <v>2004</v>
      </c>
      <c r="M658" s="8" t="n">
        <v>379315</v>
      </c>
      <c r="N658" s="8" t="n">
        <v>238426</v>
      </c>
      <c r="O658" s="9" t="n">
        <v>24.3</v>
      </c>
      <c r="P658" s="9" t="n">
        <v>71</v>
      </c>
      <c r="R658" s="9" t="n">
        <v>1</v>
      </c>
      <c r="T658" s="10" t="n">
        <v>59.9</v>
      </c>
      <c r="U658" s="9" t="n">
        <v>5</v>
      </c>
      <c r="V658" s="3" t="s">
        <v>83</v>
      </c>
      <c r="W658" s="9" t="n">
        <v>0.75</v>
      </c>
      <c r="Z658" s="3" t="s">
        <v>1578</v>
      </c>
      <c r="AA658" s="3" t="s">
        <v>1989</v>
      </c>
      <c r="AB658" s="11" t="n">
        <v>46127</v>
      </c>
    </row>
    <row r="659" customFormat="false" ht="15" hidden="false" customHeight="false" outlineLevel="0" collapsed="false">
      <c r="A659" s="3" t="s">
        <v>2150</v>
      </c>
      <c r="B659" s="3" t="s">
        <v>48</v>
      </c>
      <c r="C659" s="3" t="s">
        <v>1802</v>
      </c>
      <c r="E659" s="3" t="s">
        <v>2151</v>
      </c>
      <c r="F659" s="3" t="s">
        <v>1986</v>
      </c>
      <c r="G659" s="3" t="s">
        <v>1575</v>
      </c>
      <c r="H659" s="3" t="s">
        <v>1987</v>
      </c>
      <c r="I659" s="3" t="s">
        <v>2152</v>
      </c>
      <c r="M659" s="8" t="n">
        <v>253442</v>
      </c>
      <c r="N659" s="8" t="n">
        <v>265936</v>
      </c>
      <c r="O659" s="9" t="n">
        <v>14.4</v>
      </c>
      <c r="P659" s="9" t="n">
        <v>57</v>
      </c>
      <c r="R659" s="9" t="n">
        <v>3</v>
      </c>
      <c r="T659" s="10" t="n">
        <v>44.7</v>
      </c>
      <c r="U659" s="9" t="n">
        <v>3</v>
      </c>
      <c r="V659" s="3" t="s">
        <v>83</v>
      </c>
      <c r="W659" s="9" t="n">
        <v>0.75</v>
      </c>
      <c r="Z659" s="3" t="s">
        <v>1578</v>
      </c>
      <c r="AA659" s="3" t="s">
        <v>1989</v>
      </c>
      <c r="AB659" s="11" t="n">
        <v>46127</v>
      </c>
    </row>
    <row r="660" customFormat="false" ht="15" hidden="false" customHeight="false" outlineLevel="0" collapsed="false">
      <c r="A660" s="3" t="s">
        <v>2153</v>
      </c>
      <c r="B660" s="3" t="s">
        <v>48</v>
      </c>
      <c r="C660" s="3" t="s">
        <v>1806</v>
      </c>
      <c r="E660" s="3" t="s">
        <v>2154</v>
      </c>
      <c r="F660" s="3" t="s">
        <v>1986</v>
      </c>
      <c r="G660" s="3" t="s">
        <v>1575</v>
      </c>
      <c r="H660" s="3" t="s">
        <v>1987</v>
      </c>
      <c r="I660" s="3" t="s">
        <v>2155</v>
      </c>
      <c r="M660" s="8" t="n">
        <v>583599</v>
      </c>
      <c r="N660" s="8" t="n">
        <v>200264</v>
      </c>
      <c r="O660" s="9" t="n">
        <v>9.2</v>
      </c>
      <c r="P660" s="9" t="n">
        <v>69</v>
      </c>
      <c r="R660" s="9" t="n">
        <v>1</v>
      </c>
      <c r="T660" s="10" t="n">
        <v>35.4</v>
      </c>
      <c r="U660" s="9" t="n">
        <v>2</v>
      </c>
      <c r="V660" s="3" t="s">
        <v>55</v>
      </c>
      <c r="W660" s="9" t="n">
        <v>0.75</v>
      </c>
      <c r="Z660" s="3" t="s">
        <v>1578</v>
      </c>
      <c r="AA660" s="3" t="s">
        <v>1989</v>
      </c>
      <c r="AB660" s="11" t="n">
        <v>46127</v>
      </c>
    </row>
    <row r="661" customFormat="false" ht="15" hidden="false" customHeight="false" outlineLevel="0" collapsed="false">
      <c r="A661" s="3" t="s">
        <v>2156</v>
      </c>
      <c r="B661" s="3" t="s">
        <v>48</v>
      </c>
      <c r="C661" s="3" t="s">
        <v>1809</v>
      </c>
      <c r="E661" s="3" t="s">
        <v>2157</v>
      </c>
      <c r="F661" s="3" t="s">
        <v>1986</v>
      </c>
      <c r="G661" s="3" t="s">
        <v>1575</v>
      </c>
      <c r="H661" s="3" t="s">
        <v>1987</v>
      </c>
      <c r="I661" s="3" t="s">
        <v>2158</v>
      </c>
      <c r="M661" s="8" t="n">
        <v>630660</v>
      </c>
      <c r="N661" s="8" t="n">
        <v>266364</v>
      </c>
      <c r="O661" s="9" t="n">
        <v>20.4</v>
      </c>
      <c r="P661" s="9" t="n">
        <v>57</v>
      </c>
      <c r="R661" s="9" t="n">
        <v>1</v>
      </c>
      <c r="T661" s="10" t="n">
        <v>15.2</v>
      </c>
      <c r="U661" s="9" t="n">
        <v>2</v>
      </c>
      <c r="V661" s="3" t="s">
        <v>62</v>
      </c>
      <c r="W661" s="9" t="n">
        <v>0.75</v>
      </c>
      <c r="Z661" s="3" t="s">
        <v>1578</v>
      </c>
      <c r="AA661" s="3" t="s">
        <v>1989</v>
      </c>
      <c r="AB661" s="11" t="n">
        <v>46127</v>
      </c>
    </row>
    <row r="662" customFormat="false" ht="15" hidden="false" customHeight="false" outlineLevel="0" collapsed="false">
      <c r="A662" s="3" t="s">
        <v>2159</v>
      </c>
      <c r="B662" s="3" t="s">
        <v>378</v>
      </c>
      <c r="C662" s="3" t="s">
        <v>1572</v>
      </c>
      <c r="D662" s="3" t="s">
        <v>384</v>
      </c>
      <c r="E662" s="3" t="s">
        <v>404</v>
      </c>
      <c r="F662" s="3" t="s">
        <v>1986</v>
      </c>
      <c r="G662" s="3" t="s">
        <v>1575</v>
      </c>
      <c r="H662" s="3" t="s">
        <v>1987</v>
      </c>
      <c r="I662" s="3" t="s">
        <v>2160</v>
      </c>
      <c r="M662" s="8" t="n">
        <v>212442</v>
      </c>
      <c r="P662" s="9" t="n">
        <v>38</v>
      </c>
      <c r="Q662" s="9" t="n">
        <v>17.6</v>
      </c>
      <c r="R662" s="9" t="n">
        <v>1</v>
      </c>
      <c r="S662" s="8" t="n">
        <v>212172</v>
      </c>
      <c r="T662" s="10" t="n">
        <v>20.2</v>
      </c>
      <c r="U662" s="9" t="n">
        <v>1</v>
      </c>
      <c r="V662" s="3" t="s">
        <v>83</v>
      </c>
      <c r="W662" s="9" t="n">
        <v>0.75</v>
      </c>
      <c r="Z662" s="3" t="s">
        <v>1578</v>
      </c>
      <c r="AA662" s="3" t="s">
        <v>2161</v>
      </c>
      <c r="AB662" s="11" t="n">
        <v>46127</v>
      </c>
    </row>
    <row r="663" customFormat="false" ht="15" hidden="false" customHeight="false" outlineLevel="0" collapsed="false">
      <c r="A663" s="3" t="s">
        <v>2162</v>
      </c>
      <c r="B663" s="3" t="s">
        <v>378</v>
      </c>
      <c r="C663" s="3" t="s">
        <v>1581</v>
      </c>
      <c r="D663" s="3" t="s">
        <v>379</v>
      </c>
      <c r="E663" s="3" t="s">
        <v>2163</v>
      </c>
      <c r="F663" s="3" t="s">
        <v>1986</v>
      </c>
      <c r="G663" s="3" t="s">
        <v>1575</v>
      </c>
      <c r="H663" s="3" t="s">
        <v>1987</v>
      </c>
      <c r="I663" s="3" t="s">
        <v>2164</v>
      </c>
      <c r="M663" s="8" t="n">
        <v>304745</v>
      </c>
      <c r="P663" s="9" t="n">
        <v>55</v>
      </c>
      <c r="Q663" s="9" t="n">
        <v>12.1</v>
      </c>
      <c r="R663" s="9" t="n">
        <v>1</v>
      </c>
      <c r="S663" s="8" t="n">
        <v>412770</v>
      </c>
      <c r="T663" s="10" t="n">
        <v>27.8</v>
      </c>
      <c r="U663" s="9" t="n">
        <v>3</v>
      </c>
      <c r="V663" s="3" t="s">
        <v>83</v>
      </c>
      <c r="W663" s="9" t="n">
        <v>0.75</v>
      </c>
      <c r="Z663" s="3" t="s">
        <v>1578</v>
      </c>
      <c r="AA663" s="3" t="s">
        <v>2161</v>
      </c>
      <c r="AB663" s="11" t="n">
        <v>46127</v>
      </c>
    </row>
    <row r="664" customFormat="false" ht="15" hidden="false" customHeight="false" outlineLevel="0" collapsed="false">
      <c r="A664" s="3" t="s">
        <v>2165</v>
      </c>
      <c r="B664" s="3" t="s">
        <v>378</v>
      </c>
      <c r="C664" s="3" t="s">
        <v>1584</v>
      </c>
      <c r="D664" s="3" t="s">
        <v>391</v>
      </c>
      <c r="E664" s="3" t="s">
        <v>2166</v>
      </c>
      <c r="F664" s="3" t="s">
        <v>1986</v>
      </c>
      <c r="G664" s="3" t="s">
        <v>1575</v>
      </c>
      <c r="H664" s="3" t="s">
        <v>1987</v>
      </c>
      <c r="I664" s="3" t="s">
        <v>2167</v>
      </c>
      <c r="M664" s="8" t="n">
        <v>386215</v>
      </c>
      <c r="P664" s="9" t="n">
        <v>50</v>
      </c>
      <c r="Q664" s="9" t="n">
        <v>5</v>
      </c>
      <c r="R664" s="9" t="n">
        <v>1</v>
      </c>
      <c r="S664" s="8" t="n">
        <v>298747</v>
      </c>
      <c r="T664" s="10" t="n">
        <v>75.9</v>
      </c>
      <c r="U664" s="9" t="n">
        <v>1</v>
      </c>
      <c r="V664" s="3" t="s">
        <v>83</v>
      </c>
      <c r="W664" s="9" t="n">
        <v>0.75</v>
      </c>
      <c r="Z664" s="3" t="s">
        <v>1578</v>
      </c>
      <c r="AA664" s="3" t="s">
        <v>2161</v>
      </c>
      <c r="AB664" s="11" t="n">
        <v>46127</v>
      </c>
    </row>
    <row r="665" customFormat="false" ht="15" hidden="false" customHeight="false" outlineLevel="0" collapsed="false">
      <c r="A665" s="3" t="s">
        <v>2168</v>
      </c>
      <c r="B665" s="3" t="s">
        <v>378</v>
      </c>
      <c r="C665" s="3" t="s">
        <v>1588</v>
      </c>
      <c r="D665" s="3" t="s">
        <v>384</v>
      </c>
      <c r="E665" s="3" t="s">
        <v>2169</v>
      </c>
      <c r="F665" s="3" t="s">
        <v>1986</v>
      </c>
      <c r="G665" s="3" t="s">
        <v>1575</v>
      </c>
      <c r="H665" s="3" t="s">
        <v>1987</v>
      </c>
      <c r="I665" s="3" t="s">
        <v>2170</v>
      </c>
      <c r="M665" s="8" t="n">
        <v>713306</v>
      </c>
      <c r="P665" s="9" t="n">
        <v>73</v>
      </c>
      <c r="Q665" s="9" t="n">
        <v>3.3</v>
      </c>
      <c r="R665" s="9" t="n">
        <v>2</v>
      </c>
      <c r="S665" s="8" t="n">
        <v>403824</v>
      </c>
      <c r="T665" s="10" t="n">
        <v>46.5</v>
      </c>
      <c r="U665" s="9" t="n">
        <v>8</v>
      </c>
      <c r="V665" s="3" t="s">
        <v>92</v>
      </c>
      <c r="W665" s="9" t="n">
        <v>0.75</v>
      </c>
      <c r="Z665" s="3" t="s">
        <v>1578</v>
      </c>
      <c r="AA665" s="3" t="s">
        <v>2161</v>
      </c>
      <c r="AB665" s="11" t="n">
        <v>46127</v>
      </c>
    </row>
    <row r="666" customFormat="false" ht="15" hidden="false" customHeight="false" outlineLevel="0" collapsed="false">
      <c r="A666" s="3" t="s">
        <v>2171</v>
      </c>
      <c r="B666" s="3" t="s">
        <v>378</v>
      </c>
      <c r="C666" s="3" t="s">
        <v>1592</v>
      </c>
      <c r="D666" s="3" t="s">
        <v>384</v>
      </c>
      <c r="E666" s="3" t="s">
        <v>2172</v>
      </c>
      <c r="F666" s="3" t="s">
        <v>1986</v>
      </c>
      <c r="G666" s="3" t="s">
        <v>1575</v>
      </c>
      <c r="H666" s="3" t="s">
        <v>1987</v>
      </c>
      <c r="I666" s="3" t="s">
        <v>2173</v>
      </c>
      <c r="M666" s="8" t="n">
        <v>467987</v>
      </c>
      <c r="P666" s="9" t="n">
        <v>75</v>
      </c>
      <c r="Q666" s="9" t="n">
        <v>27.9</v>
      </c>
      <c r="R666" s="9" t="n">
        <v>1</v>
      </c>
      <c r="S666" s="8" t="n">
        <v>498747</v>
      </c>
      <c r="T666" s="10" t="n">
        <v>35.5</v>
      </c>
      <c r="U666" s="9" t="n">
        <v>10</v>
      </c>
      <c r="V666" s="3" t="s">
        <v>62</v>
      </c>
      <c r="W666" s="9" t="n">
        <v>0.75</v>
      </c>
      <c r="Z666" s="3" t="s">
        <v>1578</v>
      </c>
      <c r="AA666" s="3" t="s">
        <v>2161</v>
      </c>
      <c r="AB666" s="11" t="n">
        <v>46127</v>
      </c>
    </row>
    <row r="667" customFormat="false" ht="15" hidden="false" customHeight="false" outlineLevel="0" collapsed="false">
      <c r="A667" s="3" t="s">
        <v>2174</v>
      </c>
      <c r="B667" s="3" t="s">
        <v>378</v>
      </c>
      <c r="C667" s="3" t="s">
        <v>1596</v>
      </c>
      <c r="D667" s="3" t="s">
        <v>379</v>
      </c>
      <c r="E667" s="3" t="s">
        <v>637</v>
      </c>
      <c r="F667" s="3" t="s">
        <v>1986</v>
      </c>
      <c r="G667" s="3" t="s">
        <v>1575</v>
      </c>
      <c r="H667" s="3" t="s">
        <v>1987</v>
      </c>
      <c r="I667" s="3" t="s">
        <v>1109</v>
      </c>
      <c r="M667" s="8" t="n">
        <v>503043</v>
      </c>
      <c r="P667" s="9" t="n">
        <v>61</v>
      </c>
      <c r="Q667" s="9" t="n">
        <v>3.7</v>
      </c>
      <c r="R667" s="9" t="n">
        <v>1</v>
      </c>
      <c r="S667" s="8" t="n">
        <v>107747</v>
      </c>
      <c r="T667" s="10" t="n">
        <v>44.2</v>
      </c>
      <c r="U667" s="9" t="n">
        <v>10</v>
      </c>
      <c r="V667" s="3" t="s">
        <v>55</v>
      </c>
      <c r="W667" s="9" t="n">
        <v>0.75</v>
      </c>
      <c r="Z667" s="3" t="s">
        <v>1578</v>
      </c>
      <c r="AA667" s="3" t="s">
        <v>2161</v>
      </c>
      <c r="AB667" s="11" t="n">
        <v>46127</v>
      </c>
    </row>
    <row r="668" customFormat="false" ht="15" hidden="false" customHeight="false" outlineLevel="0" collapsed="false">
      <c r="A668" s="3" t="s">
        <v>2175</v>
      </c>
      <c r="B668" s="3" t="s">
        <v>378</v>
      </c>
      <c r="C668" s="3" t="s">
        <v>1600</v>
      </c>
      <c r="D668" s="3" t="s">
        <v>391</v>
      </c>
      <c r="E668" s="3" t="s">
        <v>2176</v>
      </c>
      <c r="F668" s="3" t="s">
        <v>1986</v>
      </c>
      <c r="G668" s="3" t="s">
        <v>1575</v>
      </c>
      <c r="H668" s="3" t="s">
        <v>1987</v>
      </c>
      <c r="I668" s="3" t="s">
        <v>2177</v>
      </c>
      <c r="M668" s="8" t="n">
        <v>80407</v>
      </c>
      <c r="P668" s="9" t="n">
        <v>40</v>
      </c>
      <c r="Q668" s="9" t="n">
        <v>24.6</v>
      </c>
      <c r="R668" s="9" t="n">
        <v>1</v>
      </c>
      <c r="S668" s="8" t="n">
        <v>869189</v>
      </c>
      <c r="T668" s="10" t="n">
        <v>38.6</v>
      </c>
      <c r="U668" s="9" t="n">
        <v>9</v>
      </c>
      <c r="V668" s="3" t="s">
        <v>83</v>
      </c>
      <c r="W668" s="9" t="n">
        <v>0.75</v>
      </c>
      <c r="Z668" s="3" t="s">
        <v>1578</v>
      </c>
      <c r="AA668" s="3" t="s">
        <v>2161</v>
      </c>
      <c r="AB668" s="11" t="n">
        <v>46127</v>
      </c>
    </row>
    <row r="669" customFormat="false" ht="15" hidden="false" customHeight="false" outlineLevel="0" collapsed="false">
      <c r="A669" s="3" t="s">
        <v>2178</v>
      </c>
      <c r="B669" s="3" t="s">
        <v>378</v>
      </c>
      <c r="C669" s="3" t="s">
        <v>1604</v>
      </c>
      <c r="D669" s="3" t="s">
        <v>384</v>
      </c>
      <c r="E669" s="3" t="s">
        <v>2179</v>
      </c>
      <c r="F669" s="3" t="s">
        <v>1986</v>
      </c>
      <c r="G669" s="3" t="s">
        <v>1575</v>
      </c>
      <c r="H669" s="3" t="s">
        <v>1987</v>
      </c>
      <c r="I669" s="3" t="s">
        <v>2180</v>
      </c>
      <c r="M669" s="8" t="n">
        <v>219578</v>
      </c>
      <c r="P669" s="9" t="n">
        <v>75</v>
      </c>
      <c r="Q669" s="9" t="n">
        <v>2.2</v>
      </c>
      <c r="R669" s="9" t="n">
        <v>1</v>
      </c>
      <c r="S669" s="8" t="n">
        <v>344341</v>
      </c>
      <c r="T669" s="10" t="n">
        <v>64.9</v>
      </c>
      <c r="U669" s="9" t="n">
        <v>1</v>
      </c>
      <c r="V669" s="3" t="s">
        <v>83</v>
      </c>
      <c r="W669" s="9" t="n">
        <v>0.75</v>
      </c>
      <c r="Z669" s="3" t="s">
        <v>1578</v>
      </c>
      <c r="AA669" s="3" t="s">
        <v>2161</v>
      </c>
      <c r="AB669" s="11" t="n">
        <v>46127</v>
      </c>
    </row>
    <row r="670" customFormat="false" ht="15" hidden="false" customHeight="false" outlineLevel="0" collapsed="false">
      <c r="A670" s="3" t="s">
        <v>2181</v>
      </c>
      <c r="B670" s="3" t="s">
        <v>378</v>
      </c>
      <c r="C670" s="3" t="s">
        <v>1608</v>
      </c>
      <c r="D670" s="3" t="s">
        <v>379</v>
      </c>
      <c r="E670" s="3" t="s">
        <v>2182</v>
      </c>
      <c r="F670" s="3" t="s">
        <v>1986</v>
      </c>
      <c r="G670" s="3" t="s">
        <v>1575</v>
      </c>
      <c r="H670" s="3" t="s">
        <v>1987</v>
      </c>
      <c r="I670" s="3" t="s">
        <v>2183</v>
      </c>
      <c r="M670" s="8" t="n">
        <v>506344</v>
      </c>
      <c r="P670" s="9" t="n">
        <v>42</v>
      </c>
      <c r="Q670" s="9" t="n">
        <v>23.3</v>
      </c>
      <c r="R670" s="9" t="n">
        <v>1</v>
      </c>
      <c r="S670" s="8" t="n">
        <v>260482</v>
      </c>
      <c r="T670" s="10" t="n">
        <v>34.9</v>
      </c>
      <c r="U670" s="9" t="n">
        <v>3</v>
      </c>
      <c r="V670" s="3" t="s">
        <v>83</v>
      </c>
      <c r="W670" s="9" t="n">
        <v>0.75</v>
      </c>
      <c r="Z670" s="3" t="s">
        <v>1578</v>
      </c>
      <c r="AA670" s="3" t="s">
        <v>2161</v>
      </c>
      <c r="AB670" s="11" t="n">
        <v>46127</v>
      </c>
    </row>
    <row r="671" customFormat="false" ht="15" hidden="false" customHeight="false" outlineLevel="0" collapsed="false">
      <c r="A671" s="3" t="s">
        <v>2184</v>
      </c>
      <c r="B671" s="3" t="s">
        <v>378</v>
      </c>
      <c r="C671" s="3" t="s">
        <v>1612</v>
      </c>
      <c r="D671" s="3" t="s">
        <v>379</v>
      </c>
      <c r="E671" s="3" t="s">
        <v>2185</v>
      </c>
      <c r="F671" s="3" t="s">
        <v>1986</v>
      </c>
      <c r="G671" s="3" t="s">
        <v>1575</v>
      </c>
      <c r="H671" s="3" t="s">
        <v>1987</v>
      </c>
      <c r="I671" s="3" t="s">
        <v>2186</v>
      </c>
      <c r="M671" s="8" t="n">
        <v>448170</v>
      </c>
      <c r="P671" s="9" t="n">
        <v>70</v>
      </c>
      <c r="Q671" s="9" t="n">
        <v>19</v>
      </c>
      <c r="R671" s="9" t="n">
        <v>1</v>
      </c>
      <c r="S671" s="8" t="n">
        <v>881826</v>
      </c>
      <c r="T671" s="10" t="n">
        <v>49.2</v>
      </c>
      <c r="U671" s="9" t="n">
        <v>5</v>
      </c>
      <c r="V671" s="3" t="s">
        <v>92</v>
      </c>
      <c r="W671" s="9" t="n">
        <v>0.75</v>
      </c>
      <c r="Z671" s="3" t="s">
        <v>1578</v>
      </c>
      <c r="AA671" s="3" t="s">
        <v>2161</v>
      </c>
      <c r="AB671" s="11" t="n">
        <v>46127</v>
      </c>
    </row>
    <row r="672" customFormat="false" ht="15" hidden="false" customHeight="false" outlineLevel="0" collapsed="false">
      <c r="A672" s="3" t="s">
        <v>2187</v>
      </c>
      <c r="B672" s="3" t="s">
        <v>378</v>
      </c>
      <c r="C672" s="3" t="s">
        <v>1616</v>
      </c>
      <c r="D672" s="3" t="s">
        <v>384</v>
      </c>
      <c r="E672" s="3" t="s">
        <v>1883</v>
      </c>
      <c r="F672" s="3" t="s">
        <v>1986</v>
      </c>
      <c r="G672" s="3" t="s">
        <v>1575</v>
      </c>
      <c r="H672" s="3" t="s">
        <v>1987</v>
      </c>
      <c r="I672" s="3" t="s">
        <v>2188</v>
      </c>
      <c r="M672" s="8" t="n">
        <v>210102</v>
      </c>
      <c r="P672" s="9" t="n">
        <v>69</v>
      </c>
      <c r="Q672" s="9" t="n">
        <v>27.4</v>
      </c>
      <c r="R672" s="9" t="n">
        <v>1</v>
      </c>
      <c r="S672" s="8" t="n">
        <v>1576203</v>
      </c>
      <c r="T672" s="10" t="n">
        <v>16.5</v>
      </c>
      <c r="U672" s="9" t="n">
        <v>4</v>
      </c>
      <c r="V672" s="3" t="s">
        <v>83</v>
      </c>
      <c r="W672" s="9" t="n">
        <v>0.75</v>
      </c>
      <c r="Z672" s="3" t="s">
        <v>1578</v>
      </c>
      <c r="AA672" s="3" t="s">
        <v>2161</v>
      </c>
      <c r="AB672" s="11" t="n">
        <v>46127</v>
      </c>
    </row>
    <row r="673" customFormat="false" ht="15" hidden="false" customHeight="false" outlineLevel="0" collapsed="false">
      <c r="A673" s="3" t="s">
        <v>2189</v>
      </c>
      <c r="B673" s="3" t="s">
        <v>378</v>
      </c>
      <c r="C673" s="3" t="s">
        <v>1620</v>
      </c>
      <c r="D673" s="3" t="s">
        <v>384</v>
      </c>
      <c r="E673" s="3" t="s">
        <v>2190</v>
      </c>
      <c r="F673" s="3" t="s">
        <v>1986</v>
      </c>
      <c r="G673" s="3" t="s">
        <v>1575</v>
      </c>
      <c r="H673" s="3" t="s">
        <v>1987</v>
      </c>
      <c r="I673" s="3" t="s">
        <v>2191</v>
      </c>
      <c r="M673" s="8" t="n">
        <v>736598</v>
      </c>
      <c r="P673" s="9" t="n">
        <v>77</v>
      </c>
      <c r="Q673" s="9" t="n">
        <v>28.1</v>
      </c>
      <c r="R673" s="9" t="n">
        <v>1</v>
      </c>
      <c r="S673" s="8" t="n">
        <v>887557</v>
      </c>
      <c r="T673" s="10" t="n">
        <v>48.4</v>
      </c>
      <c r="U673" s="9" t="n">
        <v>6</v>
      </c>
      <c r="V673" s="3" t="s">
        <v>55</v>
      </c>
      <c r="W673" s="9" t="n">
        <v>0.75</v>
      </c>
      <c r="Z673" s="3" t="s">
        <v>1578</v>
      </c>
      <c r="AA673" s="3" t="s">
        <v>2161</v>
      </c>
      <c r="AB673" s="11" t="n">
        <v>46127</v>
      </c>
    </row>
    <row r="674" customFormat="false" ht="15" hidden="false" customHeight="false" outlineLevel="0" collapsed="false">
      <c r="A674" s="3" t="s">
        <v>2192</v>
      </c>
      <c r="B674" s="3" t="s">
        <v>378</v>
      </c>
      <c r="C674" s="3" t="s">
        <v>1624</v>
      </c>
      <c r="D674" s="3" t="s">
        <v>391</v>
      </c>
      <c r="E674" s="3" t="s">
        <v>2193</v>
      </c>
      <c r="F674" s="3" t="s">
        <v>1986</v>
      </c>
      <c r="G674" s="3" t="s">
        <v>1575</v>
      </c>
      <c r="H674" s="3" t="s">
        <v>1987</v>
      </c>
      <c r="I674" s="3" t="s">
        <v>2194</v>
      </c>
      <c r="M674" s="8" t="n">
        <v>302634</v>
      </c>
      <c r="P674" s="9" t="n">
        <v>77</v>
      </c>
      <c r="Q674" s="9" t="n">
        <v>11.1</v>
      </c>
      <c r="R674" s="9" t="n">
        <v>1</v>
      </c>
      <c r="S674" s="8" t="n">
        <v>355090</v>
      </c>
      <c r="T674" s="10" t="n">
        <v>25</v>
      </c>
      <c r="U674" s="9" t="n">
        <v>9</v>
      </c>
      <c r="V674" s="3" t="s">
        <v>55</v>
      </c>
      <c r="W674" s="9" t="n">
        <v>0.75</v>
      </c>
      <c r="Z674" s="3" t="s">
        <v>1578</v>
      </c>
      <c r="AA674" s="3" t="s">
        <v>2161</v>
      </c>
      <c r="AB674" s="11" t="n">
        <v>46127</v>
      </c>
    </row>
    <row r="675" customFormat="false" ht="15" hidden="false" customHeight="false" outlineLevel="0" collapsed="false">
      <c r="A675" s="3" t="s">
        <v>2195</v>
      </c>
      <c r="B675" s="3" t="s">
        <v>378</v>
      </c>
      <c r="C675" s="3" t="s">
        <v>1628</v>
      </c>
      <c r="D675" s="3" t="s">
        <v>384</v>
      </c>
      <c r="E675" s="3" t="s">
        <v>2196</v>
      </c>
      <c r="F675" s="3" t="s">
        <v>1986</v>
      </c>
      <c r="G675" s="3" t="s">
        <v>1575</v>
      </c>
      <c r="H675" s="3" t="s">
        <v>1987</v>
      </c>
      <c r="I675" s="3" t="s">
        <v>2197</v>
      </c>
      <c r="M675" s="8" t="n">
        <v>531777</v>
      </c>
      <c r="P675" s="9" t="n">
        <v>51</v>
      </c>
      <c r="Q675" s="9" t="n">
        <v>6.7</v>
      </c>
      <c r="R675" s="9" t="n">
        <v>1</v>
      </c>
      <c r="S675" s="8" t="n">
        <v>1002740</v>
      </c>
      <c r="T675" s="10" t="n">
        <v>59.9</v>
      </c>
      <c r="U675" s="9" t="n">
        <v>6</v>
      </c>
      <c r="V675" s="3" t="s">
        <v>83</v>
      </c>
      <c r="W675" s="9" t="n">
        <v>0.75</v>
      </c>
      <c r="Z675" s="3" t="s">
        <v>1578</v>
      </c>
      <c r="AA675" s="3" t="s">
        <v>2161</v>
      </c>
      <c r="AB675" s="11" t="n">
        <v>46127</v>
      </c>
    </row>
    <row r="676" customFormat="false" ht="15" hidden="false" customHeight="false" outlineLevel="0" collapsed="false">
      <c r="A676" s="3" t="s">
        <v>2198</v>
      </c>
      <c r="B676" s="3" t="s">
        <v>378</v>
      </c>
      <c r="C676" s="3" t="s">
        <v>1632</v>
      </c>
      <c r="D676" s="3" t="s">
        <v>384</v>
      </c>
      <c r="E676" s="3" t="s">
        <v>2199</v>
      </c>
      <c r="F676" s="3" t="s">
        <v>1986</v>
      </c>
      <c r="G676" s="3" t="s">
        <v>1575</v>
      </c>
      <c r="H676" s="3" t="s">
        <v>1987</v>
      </c>
      <c r="I676" s="3" t="s">
        <v>2200</v>
      </c>
      <c r="M676" s="8" t="n">
        <v>464793</v>
      </c>
      <c r="P676" s="9" t="n">
        <v>49</v>
      </c>
      <c r="Q676" s="9" t="n">
        <v>19</v>
      </c>
      <c r="R676" s="9" t="n">
        <v>1</v>
      </c>
      <c r="S676" s="8" t="n">
        <v>861353</v>
      </c>
      <c r="T676" s="10" t="n">
        <v>57.1</v>
      </c>
      <c r="U676" s="9" t="n">
        <v>5</v>
      </c>
      <c r="V676" s="3" t="s">
        <v>83</v>
      </c>
      <c r="W676" s="9" t="n">
        <v>0.75</v>
      </c>
      <c r="Z676" s="3" t="s">
        <v>1578</v>
      </c>
      <c r="AA676" s="3" t="s">
        <v>2161</v>
      </c>
      <c r="AB676" s="11" t="n">
        <v>46127</v>
      </c>
    </row>
    <row r="677" customFormat="false" ht="15" hidden="false" customHeight="false" outlineLevel="0" collapsed="false">
      <c r="A677" s="3" t="s">
        <v>2201</v>
      </c>
      <c r="B677" s="3" t="s">
        <v>378</v>
      </c>
      <c r="C677" s="3" t="s">
        <v>1636</v>
      </c>
      <c r="D677" s="3" t="s">
        <v>379</v>
      </c>
      <c r="E677" s="3" t="s">
        <v>2202</v>
      </c>
      <c r="F677" s="3" t="s">
        <v>1986</v>
      </c>
      <c r="G677" s="3" t="s">
        <v>1575</v>
      </c>
      <c r="H677" s="3" t="s">
        <v>1987</v>
      </c>
      <c r="I677" s="3" t="s">
        <v>2203</v>
      </c>
      <c r="M677" s="8" t="n">
        <v>760258</v>
      </c>
      <c r="P677" s="9" t="n">
        <v>37</v>
      </c>
      <c r="Q677" s="9" t="n">
        <v>13.2</v>
      </c>
      <c r="R677" s="9" t="n">
        <v>1</v>
      </c>
      <c r="S677" s="8" t="n">
        <v>432556</v>
      </c>
      <c r="T677" s="10" t="n">
        <v>46.8</v>
      </c>
      <c r="U677" s="9" t="n">
        <v>4</v>
      </c>
      <c r="V677" s="3" t="s">
        <v>92</v>
      </c>
      <c r="W677" s="9" t="n">
        <v>0.75</v>
      </c>
      <c r="Z677" s="3" t="s">
        <v>1578</v>
      </c>
      <c r="AA677" s="3" t="s">
        <v>2161</v>
      </c>
      <c r="AB677" s="11" t="n">
        <v>46127</v>
      </c>
    </row>
    <row r="678" customFormat="false" ht="15" hidden="false" customHeight="false" outlineLevel="0" collapsed="false">
      <c r="A678" s="3" t="s">
        <v>2204</v>
      </c>
      <c r="B678" s="3" t="s">
        <v>378</v>
      </c>
      <c r="C678" s="3" t="s">
        <v>1640</v>
      </c>
      <c r="D678" s="3" t="s">
        <v>379</v>
      </c>
      <c r="E678" s="3" t="s">
        <v>2205</v>
      </c>
      <c r="F678" s="3" t="s">
        <v>1986</v>
      </c>
      <c r="G678" s="3" t="s">
        <v>1575</v>
      </c>
      <c r="H678" s="3" t="s">
        <v>1987</v>
      </c>
      <c r="I678" s="3" t="s">
        <v>2206</v>
      </c>
      <c r="M678" s="8" t="n">
        <v>252875</v>
      </c>
      <c r="P678" s="9" t="n">
        <v>53</v>
      </c>
      <c r="Q678" s="9" t="n">
        <v>22.1</v>
      </c>
      <c r="R678" s="9" t="n">
        <v>1</v>
      </c>
      <c r="S678" s="8" t="n">
        <v>457906</v>
      </c>
      <c r="T678" s="10" t="n">
        <v>31</v>
      </c>
      <c r="U678" s="9" t="n">
        <v>7</v>
      </c>
      <c r="V678" s="3" t="s">
        <v>92</v>
      </c>
      <c r="W678" s="9" t="n">
        <v>0.75</v>
      </c>
      <c r="Z678" s="3" t="s">
        <v>1578</v>
      </c>
      <c r="AA678" s="3" t="s">
        <v>2161</v>
      </c>
      <c r="AB678" s="11" t="n">
        <v>46127</v>
      </c>
    </row>
    <row r="679" customFormat="false" ht="15" hidden="false" customHeight="false" outlineLevel="0" collapsed="false">
      <c r="A679" s="3" t="s">
        <v>2207</v>
      </c>
      <c r="B679" s="3" t="s">
        <v>378</v>
      </c>
      <c r="C679" s="3" t="s">
        <v>1644</v>
      </c>
      <c r="D679" s="3" t="s">
        <v>384</v>
      </c>
      <c r="E679" s="3" t="s">
        <v>2208</v>
      </c>
      <c r="F679" s="3" t="s">
        <v>1986</v>
      </c>
      <c r="G679" s="3" t="s">
        <v>1575</v>
      </c>
      <c r="H679" s="3" t="s">
        <v>1987</v>
      </c>
      <c r="I679" s="3" t="s">
        <v>2209</v>
      </c>
      <c r="M679" s="8" t="n">
        <v>451405</v>
      </c>
      <c r="P679" s="9" t="n">
        <v>76</v>
      </c>
      <c r="Q679" s="9" t="n">
        <v>6.5</v>
      </c>
      <c r="R679" s="9" t="n">
        <v>1</v>
      </c>
      <c r="S679" s="8" t="n">
        <v>666219</v>
      </c>
      <c r="T679" s="10" t="n">
        <v>83.8</v>
      </c>
      <c r="U679" s="9" t="n">
        <v>5</v>
      </c>
      <c r="V679" s="3" t="s">
        <v>55</v>
      </c>
      <c r="W679" s="9" t="n">
        <v>0.75</v>
      </c>
      <c r="Z679" s="3" t="s">
        <v>1578</v>
      </c>
      <c r="AA679" s="3" t="s">
        <v>2161</v>
      </c>
      <c r="AB679" s="11" t="n">
        <v>46127</v>
      </c>
    </row>
    <row r="680" customFormat="false" ht="15" hidden="false" customHeight="false" outlineLevel="0" collapsed="false">
      <c r="A680" s="3" t="s">
        <v>2210</v>
      </c>
      <c r="B680" s="3" t="s">
        <v>378</v>
      </c>
      <c r="C680" s="3" t="s">
        <v>1648</v>
      </c>
      <c r="D680" s="3" t="s">
        <v>391</v>
      </c>
      <c r="E680" s="3" t="s">
        <v>2211</v>
      </c>
      <c r="F680" s="3" t="s">
        <v>1986</v>
      </c>
      <c r="G680" s="3" t="s">
        <v>1575</v>
      </c>
      <c r="H680" s="3" t="s">
        <v>1987</v>
      </c>
      <c r="I680" s="3" t="s">
        <v>2212</v>
      </c>
      <c r="M680" s="8" t="n">
        <v>243033</v>
      </c>
      <c r="P680" s="9" t="n">
        <v>39</v>
      </c>
      <c r="Q680" s="9" t="n">
        <v>2.3</v>
      </c>
      <c r="R680" s="9" t="n">
        <v>1</v>
      </c>
      <c r="S680" s="8" t="n">
        <v>356537</v>
      </c>
      <c r="T680" s="10" t="n">
        <v>22.3</v>
      </c>
      <c r="U680" s="9" t="n">
        <v>1</v>
      </c>
      <c r="V680" s="3" t="s">
        <v>83</v>
      </c>
      <c r="W680" s="9" t="n">
        <v>0.75</v>
      </c>
      <c r="Z680" s="3" t="s">
        <v>1578</v>
      </c>
      <c r="AA680" s="3" t="s">
        <v>2161</v>
      </c>
      <c r="AB680" s="11" t="n">
        <v>46127</v>
      </c>
    </row>
    <row r="681" customFormat="false" ht="15" hidden="false" customHeight="false" outlineLevel="0" collapsed="false">
      <c r="A681" s="3" t="s">
        <v>2213</v>
      </c>
      <c r="B681" s="3" t="s">
        <v>378</v>
      </c>
      <c r="C681" s="3" t="s">
        <v>1652</v>
      </c>
      <c r="D681" s="3" t="s">
        <v>379</v>
      </c>
      <c r="E681" s="3" t="s">
        <v>2214</v>
      </c>
      <c r="F681" s="3" t="s">
        <v>1986</v>
      </c>
      <c r="G681" s="3" t="s">
        <v>1575</v>
      </c>
      <c r="H681" s="3" t="s">
        <v>1987</v>
      </c>
      <c r="I681" s="3" t="s">
        <v>2215</v>
      </c>
      <c r="M681" s="8" t="n">
        <v>542259</v>
      </c>
      <c r="P681" s="9" t="n">
        <v>69</v>
      </c>
      <c r="Q681" s="9" t="n">
        <v>20.6</v>
      </c>
      <c r="R681" s="9" t="n">
        <v>1</v>
      </c>
      <c r="S681" s="8" t="n">
        <v>266385</v>
      </c>
      <c r="T681" s="10" t="n">
        <v>27.3</v>
      </c>
      <c r="U681" s="9" t="n">
        <v>1</v>
      </c>
      <c r="V681" s="3" t="s">
        <v>55</v>
      </c>
      <c r="W681" s="9" t="n">
        <v>0.75</v>
      </c>
      <c r="Z681" s="3" t="s">
        <v>1578</v>
      </c>
      <c r="AA681" s="3" t="s">
        <v>2161</v>
      </c>
      <c r="AB681" s="11" t="n">
        <v>46127</v>
      </c>
    </row>
    <row r="682" customFormat="false" ht="15" hidden="false" customHeight="false" outlineLevel="0" collapsed="false">
      <c r="A682" s="3" t="s">
        <v>2216</v>
      </c>
      <c r="B682" s="3" t="s">
        <v>378</v>
      </c>
      <c r="C682" s="3" t="s">
        <v>1656</v>
      </c>
      <c r="D682" s="3" t="s">
        <v>391</v>
      </c>
      <c r="E682" s="3" t="s">
        <v>2217</v>
      </c>
      <c r="F682" s="3" t="s">
        <v>1986</v>
      </c>
      <c r="G682" s="3" t="s">
        <v>1575</v>
      </c>
      <c r="H682" s="3" t="s">
        <v>1987</v>
      </c>
      <c r="I682" s="3" t="s">
        <v>2218</v>
      </c>
      <c r="M682" s="8" t="n">
        <v>156782</v>
      </c>
      <c r="P682" s="9" t="n">
        <v>75</v>
      </c>
      <c r="Q682" s="9" t="n">
        <v>2.8</v>
      </c>
      <c r="R682" s="9" t="n">
        <v>2</v>
      </c>
      <c r="S682" s="8" t="n">
        <v>327109</v>
      </c>
      <c r="T682" s="10" t="n">
        <v>66.8</v>
      </c>
      <c r="U682" s="9" t="n">
        <v>5</v>
      </c>
      <c r="V682" s="3" t="s">
        <v>62</v>
      </c>
      <c r="W682" s="9" t="n">
        <v>0.75</v>
      </c>
      <c r="Z682" s="3" t="s">
        <v>1578</v>
      </c>
      <c r="AA682" s="3" t="s">
        <v>2161</v>
      </c>
      <c r="AB682" s="11" t="n">
        <v>46127</v>
      </c>
    </row>
    <row r="683" customFormat="false" ht="15" hidden="false" customHeight="false" outlineLevel="0" collapsed="false">
      <c r="A683" s="3" t="s">
        <v>2219</v>
      </c>
      <c r="B683" s="3" t="s">
        <v>378</v>
      </c>
      <c r="C683" s="3" t="s">
        <v>1660</v>
      </c>
      <c r="D683" s="3" t="s">
        <v>379</v>
      </c>
      <c r="E683" s="3" t="s">
        <v>2220</v>
      </c>
      <c r="F683" s="3" t="s">
        <v>1986</v>
      </c>
      <c r="G683" s="3" t="s">
        <v>1575</v>
      </c>
      <c r="H683" s="3" t="s">
        <v>1987</v>
      </c>
      <c r="I683" s="3" t="s">
        <v>2221</v>
      </c>
      <c r="M683" s="8" t="n">
        <v>504236</v>
      </c>
      <c r="P683" s="9" t="n">
        <v>53</v>
      </c>
      <c r="Q683" s="9" t="n">
        <v>28.8</v>
      </c>
      <c r="R683" s="9" t="n">
        <v>1</v>
      </c>
      <c r="S683" s="8" t="n">
        <v>478391</v>
      </c>
      <c r="T683" s="10" t="n">
        <v>47.4</v>
      </c>
      <c r="U683" s="9" t="n">
        <v>8</v>
      </c>
      <c r="V683" s="3" t="s">
        <v>83</v>
      </c>
      <c r="W683" s="9" t="n">
        <v>0.75</v>
      </c>
      <c r="Z683" s="3" t="s">
        <v>1578</v>
      </c>
      <c r="AA683" s="3" t="s">
        <v>2161</v>
      </c>
      <c r="AB683" s="11" t="n">
        <v>46127</v>
      </c>
    </row>
    <row r="684" customFormat="false" ht="15" hidden="false" customHeight="false" outlineLevel="0" collapsed="false">
      <c r="A684" s="3" t="s">
        <v>2222</v>
      </c>
      <c r="B684" s="3" t="s">
        <v>378</v>
      </c>
      <c r="C684" s="3" t="s">
        <v>1664</v>
      </c>
      <c r="D684" s="3" t="s">
        <v>379</v>
      </c>
      <c r="E684" s="3" t="s">
        <v>2223</v>
      </c>
      <c r="F684" s="3" t="s">
        <v>1986</v>
      </c>
      <c r="G684" s="3" t="s">
        <v>1575</v>
      </c>
      <c r="H684" s="3" t="s">
        <v>1987</v>
      </c>
      <c r="I684" s="3" t="s">
        <v>2224</v>
      </c>
      <c r="M684" s="8" t="n">
        <v>759217</v>
      </c>
      <c r="P684" s="9" t="n">
        <v>70</v>
      </c>
      <c r="Q684" s="9" t="n">
        <v>4.1</v>
      </c>
      <c r="R684" s="9" t="n">
        <v>1</v>
      </c>
      <c r="S684" s="8" t="n">
        <v>533080</v>
      </c>
      <c r="T684" s="10" t="n">
        <v>56.8</v>
      </c>
      <c r="U684" s="9" t="n">
        <v>3</v>
      </c>
      <c r="V684" s="3" t="s">
        <v>55</v>
      </c>
      <c r="W684" s="9" t="n">
        <v>0.75</v>
      </c>
      <c r="Z684" s="3" t="s">
        <v>1578</v>
      </c>
      <c r="AA684" s="3" t="s">
        <v>2161</v>
      </c>
      <c r="AB684" s="11" t="n">
        <v>46127</v>
      </c>
    </row>
    <row r="685" customFormat="false" ht="15" hidden="false" customHeight="false" outlineLevel="0" collapsed="false">
      <c r="A685" s="3" t="s">
        <v>2225</v>
      </c>
      <c r="B685" s="3" t="s">
        <v>378</v>
      </c>
      <c r="C685" s="3" t="s">
        <v>1668</v>
      </c>
      <c r="D685" s="3" t="s">
        <v>391</v>
      </c>
      <c r="E685" s="3" t="s">
        <v>2226</v>
      </c>
      <c r="F685" s="3" t="s">
        <v>1986</v>
      </c>
      <c r="G685" s="3" t="s">
        <v>1575</v>
      </c>
      <c r="H685" s="3" t="s">
        <v>1987</v>
      </c>
      <c r="I685" s="3" t="s">
        <v>2227</v>
      </c>
      <c r="M685" s="8" t="n">
        <v>412869</v>
      </c>
      <c r="P685" s="9" t="n">
        <v>63</v>
      </c>
      <c r="Q685" s="9" t="n">
        <v>3.1</v>
      </c>
      <c r="R685" s="9" t="n">
        <v>1</v>
      </c>
      <c r="S685" s="8" t="n">
        <v>475282</v>
      </c>
      <c r="T685" s="10" t="n">
        <v>31.1</v>
      </c>
      <c r="U685" s="9" t="n">
        <v>5</v>
      </c>
      <c r="V685" s="3" t="s">
        <v>83</v>
      </c>
      <c r="W685" s="9" t="n">
        <v>0.75</v>
      </c>
      <c r="Z685" s="3" t="s">
        <v>1578</v>
      </c>
      <c r="AA685" s="3" t="s">
        <v>2161</v>
      </c>
      <c r="AB685" s="11" t="n">
        <v>46127</v>
      </c>
    </row>
    <row r="686" customFormat="false" ht="15" hidden="false" customHeight="false" outlineLevel="0" collapsed="false">
      <c r="A686" s="3" t="s">
        <v>2228</v>
      </c>
      <c r="B686" s="3" t="s">
        <v>378</v>
      </c>
      <c r="C686" s="3" t="s">
        <v>1672</v>
      </c>
      <c r="D686" s="3" t="s">
        <v>384</v>
      </c>
      <c r="E686" s="3" t="s">
        <v>2229</v>
      </c>
      <c r="F686" s="3" t="s">
        <v>1986</v>
      </c>
      <c r="G686" s="3" t="s">
        <v>1575</v>
      </c>
      <c r="H686" s="3" t="s">
        <v>1987</v>
      </c>
      <c r="I686" s="3" t="s">
        <v>2230</v>
      </c>
      <c r="M686" s="8" t="n">
        <v>169829</v>
      </c>
      <c r="P686" s="9" t="n">
        <v>46</v>
      </c>
      <c r="Q686" s="9" t="n">
        <v>27.7</v>
      </c>
      <c r="R686" s="9" t="n">
        <v>1</v>
      </c>
      <c r="S686" s="8" t="n">
        <v>230537</v>
      </c>
      <c r="T686" s="10" t="n">
        <v>21.4</v>
      </c>
      <c r="U686" s="9" t="n">
        <v>10</v>
      </c>
      <c r="V686" s="3" t="s">
        <v>55</v>
      </c>
      <c r="W686" s="9" t="n">
        <v>0.75</v>
      </c>
      <c r="Z686" s="3" t="s">
        <v>1578</v>
      </c>
      <c r="AA686" s="3" t="s">
        <v>2161</v>
      </c>
      <c r="AB686" s="11" t="n">
        <v>46127</v>
      </c>
    </row>
    <row r="687" customFormat="false" ht="15" hidden="false" customHeight="false" outlineLevel="0" collapsed="false">
      <c r="A687" s="3" t="s">
        <v>2231</v>
      </c>
      <c r="B687" s="3" t="s">
        <v>378</v>
      </c>
      <c r="C687" s="3" t="s">
        <v>1676</v>
      </c>
      <c r="D687" s="3" t="s">
        <v>384</v>
      </c>
      <c r="E687" s="3" t="s">
        <v>2232</v>
      </c>
      <c r="F687" s="3" t="s">
        <v>1986</v>
      </c>
      <c r="G687" s="3" t="s">
        <v>1575</v>
      </c>
      <c r="H687" s="3" t="s">
        <v>1987</v>
      </c>
      <c r="I687" s="3" t="s">
        <v>2233</v>
      </c>
      <c r="M687" s="8" t="n">
        <v>313322</v>
      </c>
      <c r="P687" s="9" t="n">
        <v>63</v>
      </c>
      <c r="Q687" s="9" t="n">
        <v>27.1</v>
      </c>
      <c r="R687" s="9" t="n">
        <v>1</v>
      </c>
      <c r="S687" s="8" t="n">
        <v>298948</v>
      </c>
      <c r="T687" s="10" t="n">
        <v>39.5</v>
      </c>
      <c r="U687" s="9" t="n">
        <v>3</v>
      </c>
      <c r="V687" s="3" t="s">
        <v>62</v>
      </c>
      <c r="W687" s="9" t="n">
        <v>0.75</v>
      </c>
      <c r="Z687" s="3" t="s">
        <v>1578</v>
      </c>
      <c r="AA687" s="3" t="s">
        <v>2161</v>
      </c>
      <c r="AB687" s="11" t="n">
        <v>46127</v>
      </c>
    </row>
    <row r="688" customFormat="false" ht="15" hidden="false" customHeight="false" outlineLevel="0" collapsed="false">
      <c r="A688" s="3" t="s">
        <v>2234</v>
      </c>
      <c r="B688" s="3" t="s">
        <v>378</v>
      </c>
      <c r="C688" s="3" t="s">
        <v>1680</v>
      </c>
      <c r="D688" s="3" t="s">
        <v>391</v>
      </c>
      <c r="E688" s="3" t="s">
        <v>1464</v>
      </c>
      <c r="F688" s="3" t="s">
        <v>1986</v>
      </c>
      <c r="G688" s="3" t="s">
        <v>1575</v>
      </c>
      <c r="H688" s="3" t="s">
        <v>1987</v>
      </c>
      <c r="I688" s="3" t="s">
        <v>2235</v>
      </c>
      <c r="M688" s="8" t="n">
        <v>509248</v>
      </c>
      <c r="P688" s="9" t="n">
        <v>56</v>
      </c>
      <c r="Q688" s="9" t="n">
        <v>6</v>
      </c>
      <c r="R688" s="9" t="n">
        <v>1</v>
      </c>
      <c r="S688" s="8" t="n">
        <v>305756</v>
      </c>
      <c r="T688" s="10" t="n">
        <v>31.9</v>
      </c>
      <c r="U688" s="9" t="n">
        <v>9</v>
      </c>
      <c r="V688" s="3" t="s">
        <v>55</v>
      </c>
      <c r="W688" s="9" t="n">
        <v>0.75</v>
      </c>
      <c r="Z688" s="3" t="s">
        <v>1578</v>
      </c>
      <c r="AA688" s="3" t="s">
        <v>2161</v>
      </c>
      <c r="AB688" s="11" t="n">
        <v>46127</v>
      </c>
    </row>
    <row r="689" customFormat="false" ht="15" hidden="false" customHeight="false" outlineLevel="0" collapsed="false">
      <c r="A689" s="3" t="s">
        <v>2236</v>
      </c>
      <c r="B689" s="3" t="s">
        <v>378</v>
      </c>
      <c r="C689" s="3" t="s">
        <v>1684</v>
      </c>
      <c r="D689" s="3" t="s">
        <v>391</v>
      </c>
      <c r="E689" s="3" t="s">
        <v>2237</v>
      </c>
      <c r="F689" s="3" t="s">
        <v>1986</v>
      </c>
      <c r="G689" s="3" t="s">
        <v>1575</v>
      </c>
      <c r="H689" s="3" t="s">
        <v>1987</v>
      </c>
      <c r="I689" s="3" t="s">
        <v>2238</v>
      </c>
      <c r="M689" s="8" t="n">
        <v>394012</v>
      </c>
      <c r="P689" s="9" t="n">
        <v>67</v>
      </c>
      <c r="Q689" s="9" t="n">
        <v>11.7</v>
      </c>
      <c r="R689" s="9" t="n">
        <v>1</v>
      </c>
      <c r="S689" s="8" t="n">
        <v>257248</v>
      </c>
      <c r="T689" s="10" t="n">
        <v>26.5</v>
      </c>
      <c r="U689" s="9" t="n">
        <v>6</v>
      </c>
      <c r="V689" s="3" t="s">
        <v>62</v>
      </c>
      <c r="W689" s="9" t="n">
        <v>0.75</v>
      </c>
      <c r="Z689" s="3" t="s">
        <v>1578</v>
      </c>
      <c r="AA689" s="3" t="s">
        <v>2161</v>
      </c>
      <c r="AB689" s="11" t="n">
        <v>46127</v>
      </c>
    </row>
    <row r="690" customFormat="false" ht="15" hidden="false" customHeight="false" outlineLevel="0" collapsed="false">
      <c r="A690" s="3" t="s">
        <v>2239</v>
      </c>
      <c r="B690" s="3" t="s">
        <v>378</v>
      </c>
      <c r="C690" s="3" t="s">
        <v>1688</v>
      </c>
      <c r="D690" s="3" t="s">
        <v>384</v>
      </c>
      <c r="E690" s="3" t="s">
        <v>2240</v>
      </c>
      <c r="F690" s="3" t="s">
        <v>1986</v>
      </c>
      <c r="G690" s="3" t="s">
        <v>1575</v>
      </c>
      <c r="H690" s="3" t="s">
        <v>1987</v>
      </c>
      <c r="I690" s="3" t="s">
        <v>2241</v>
      </c>
      <c r="M690" s="8" t="n">
        <v>412753</v>
      </c>
      <c r="P690" s="9" t="n">
        <v>65</v>
      </c>
      <c r="Q690" s="9" t="n">
        <v>26.9</v>
      </c>
      <c r="R690" s="9" t="n">
        <v>1</v>
      </c>
      <c r="S690" s="8" t="n">
        <v>621917</v>
      </c>
      <c r="T690" s="10" t="n">
        <v>75.1</v>
      </c>
      <c r="U690" s="9" t="n">
        <v>3</v>
      </c>
      <c r="V690" s="3" t="s">
        <v>83</v>
      </c>
      <c r="W690" s="9" t="n">
        <v>0.75</v>
      </c>
      <c r="Z690" s="3" t="s">
        <v>1578</v>
      </c>
      <c r="AA690" s="3" t="s">
        <v>2161</v>
      </c>
      <c r="AB690" s="11" t="n">
        <v>46127</v>
      </c>
    </row>
    <row r="691" customFormat="false" ht="15" hidden="false" customHeight="false" outlineLevel="0" collapsed="false">
      <c r="A691" s="3" t="s">
        <v>2242</v>
      </c>
      <c r="B691" s="3" t="s">
        <v>378</v>
      </c>
      <c r="C691" s="3" t="s">
        <v>1692</v>
      </c>
      <c r="D691" s="3" t="s">
        <v>379</v>
      </c>
      <c r="E691" s="3" t="s">
        <v>2243</v>
      </c>
      <c r="F691" s="3" t="s">
        <v>1986</v>
      </c>
      <c r="G691" s="3" t="s">
        <v>1575</v>
      </c>
      <c r="H691" s="3" t="s">
        <v>1987</v>
      </c>
      <c r="I691" s="3" t="s">
        <v>2244</v>
      </c>
      <c r="M691" s="8" t="n">
        <v>224116</v>
      </c>
      <c r="P691" s="9" t="n">
        <v>62</v>
      </c>
      <c r="Q691" s="9" t="n">
        <v>28.4</v>
      </c>
      <c r="R691" s="9" t="n">
        <v>1</v>
      </c>
      <c r="S691" s="8" t="n">
        <v>585225</v>
      </c>
      <c r="T691" s="10" t="n">
        <v>91.7</v>
      </c>
      <c r="U691" s="9" t="n">
        <v>7</v>
      </c>
      <c r="V691" s="3" t="s">
        <v>55</v>
      </c>
      <c r="W691" s="9" t="n">
        <v>0.75</v>
      </c>
      <c r="Z691" s="3" t="s">
        <v>1578</v>
      </c>
      <c r="AA691" s="3" t="s">
        <v>2161</v>
      </c>
      <c r="AB691" s="11" t="n">
        <v>46127</v>
      </c>
    </row>
    <row r="692" customFormat="false" ht="15" hidden="false" customHeight="false" outlineLevel="0" collapsed="false">
      <c r="A692" s="3" t="s">
        <v>2245</v>
      </c>
      <c r="B692" s="3" t="s">
        <v>378</v>
      </c>
      <c r="C692" s="3" t="s">
        <v>1695</v>
      </c>
      <c r="D692" s="3" t="s">
        <v>391</v>
      </c>
      <c r="E692" s="3" t="s">
        <v>2246</v>
      </c>
      <c r="F692" s="3" t="s">
        <v>1986</v>
      </c>
      <c r="G692" s="3" t="s">
        <v>1575</v>
      </c>
      <c r="H692" s="3" t="s">
        <v>1987</v>
      </c>
      <c r="I692" s="3" t="s">
        <v>2247</v>
      </c>
      <c r="M692" s="8" t="n">
        <v>603242</v>
      </c>
      <c r="P692" s="9" t="n">
        <v>50</v>
      </c>
      <c r="Q692" s="9" t="n">
        <v>28.8</v>
      </c>
      <c r="R692" s="9" t="n">
        <v>1</v>
      </c>
      <c r="S692" s="8" t="n">
        <v>784702</v>
      </c>
      <c r="T692" s="10" t="n">
        <v>80.4</v>
      </c>
      <c r="U692" s="9" t="n">
        <v>10</v>
      </c>
      <c r="V692" s="3" t="s">
        <v>55</v>
      </c>
      <c r="W692" s="9" t="n">
        <v>0.75</v>
      </c>
      <c r="Z692" s="3" t="s">
        <v>1578</v>
      </c>
      <c r="AA692" s="3" t="s">
        <v>2161</v>
      </c>
      <c r="AB692" s="11" t="n">
        <v>46127</v>
      </c>
    </row>
    <row r="693" customFormat="false" ht="15" hidden="false" customHeight="false" outlineLevel="0" collapsed="false">
      <c r="A693" s="3" t="s">
        <v>2248</v>
      </c>
      <c r="B693" s="3" t="s">
        <v>378</v>
      </c>
      <c r="C693" s="3" t="s">
        <v>1699</v>
      </c>
      <c r="D693" s="3" t="s">
        <v>379</v>
      </c>
      <c r="E693" s="3" t="s">
        <v>2249</v>
      </c>
      <c r="F693" s="3" t="s">
        <v>1986</v>
      </c>
      <c r="G693" s="3" t="s">
        <v>1575</v>
      </c>
      <c r="H693" s="3" t="s">
        <v>1987</v>
      </c>
      <c r="I693" s="3" t="s">
        <v>2250</v>
      </c>
      <c r="M693" s="8" t="n">
        <v>667101</v>
      </c>
      <c r="P693" s="9" t="n">
        <v>64</v>
      </c>
      <c r="Q693" s="9" t="n">
        <v>17.3</v>
      </c>
      <c r="R693" s="9" t="n">
        <v>2</v>
      </c>
      <c r="S693" s="8" t="n">
        <v>583156</v>
      </c>
      <c r="T693" s="10" t="n">
        <v>17.1</v>
      </c>
      <c r="U693" s="9" t="n">
        <v>1</v>
      </c>
      <c r="V693" s="3" t="s">
        <v>62</v>
      </c>
      <c r="W693" s="9" t="n">
        <v>0.75</v>
      </c>
      <c r="Z693" s="3" t="s">
        <v>1578</v>
      </c>
      <c r="AA693" s="3" t="s">
        <v>2161</v>
      </c>
      <c r="AB693" s="11" t="n">
        <v>46127</v>
      </c>
    </row>
    <row r="694" customFormat="false" ht="15" hidden="false" customHeight="false" outlineLevel="0" collapsed="false">
      <c r="A694" s="3" t="s">
        <v>2251</v>
      </c>
      <c r="B694" s="3" t="s">
        <v>378</v>
      </c>
      <c r="C694" s="3" t="s">
        <v>1703</v>
      </c>
      <c r="D694" s="3" t="s">
        <v>391</v>
      </c>
      <c r="E694" s="3" t="s">
        <v>2252</v>
      </c>
      <c r="F694" s="3" t="s">
        <v>1986</v>
      </c>
      <c r="G694" s="3" t="s">
        <v>1575</v>
      </c>
      <c r="H694" s="3" t="s">
        <v>1987</v>
      </c>
      <c r="I694" s="3" t="s">
        <v>2253</v>
      </c>
      <c r="M694" s="8" t="n">
        <v>1943110</v>
      </c>
      <c r="P694" s="9" t="n">
        <v>40</v>
      </c>
      <c r="Q694" s="9" t="n">
        <v>3.8</v>
      </c>
      <c r="R694" s="9" t="n">
        <v>1</v>
      </c>
      <c r="S694" s="8" t="n">
        <v>464347</v>
      </c>
      <c r="T694" s="10" t="n">
        <v>64</v>
      </c>
      <c r="U694" s="9" t="n">
        <v>5</v>
      </c>
      <c r="V694" s="3" t="s">
        <v>62</v>
      </c>
      <c r="W694" s="9" t="n">
        <v>0.75</v>
      </c>
      <c r="Z694" s="3" t="s">
        <v>1578</v>
      </c>
      <c r="AA694" s="3" t="s">
        <v>2161</v>
      </c>
      <c r="AB694" s="11" t="n">
        <v>46127</v>
      </c>
    </row>
    <row r="695" customFormat="false" ht="15" hidden="false" customHeight="false" outlineLevel="0" collapsed="false">
      <c r="A695" s="3" t="s">
        <v>2254</v>
      </c>
      <c r="B695" s="3" t="s">
        <v>378</v>
      </c>
      <c r="C695" s="3" t="s">
        <v>1707</v>
      </c>
      <c r="D695" s="3" t="s">
        <v>379</v>
      </c>
      <c r="E695" s="3" t="s">
        <v>2255</v>
      </c>
      <c r="F695" s="3" t="s">
        <v>1986</v>
      </c>
      <c r="G695" s="3" t="s">
        <v>1575</v>
      </c>
      <c r="H695" s="3" t="s">
        <v>1987</v>
      </c>
      <c r="I695" s="3" t="s">
        <v>2256</v>
      </c>
      <c r="M695" s="8" t="n">
        <v>178182</v>
      </c>
      <c r="P695" s="9" t="n">
        <v>39</v>
      </c>
      <c r="Q695" s="9" t="n">
        <v>4.7</v>
      </c>
      <c r="R695" s="9" t="n">
        <v>1</v>
      </c>
      <c r="S695" s="8" t="n">
        <v>204732</v>
      </c>
      <c r="T695" s="10" t="n">
        <v>40.9</v>
      </c>
      <c r="U695" s="9" t="n">
        <v>10</v>
      </c>
      <c r="V695" s="3" t="s">
        <v>83</v>
      </c>
      <c r="W695" s="9" t="n">
        <v>0.75</v>
      </c>
      <c r="Z695" s="3" t="s">
        <v>1578</v>
      </c>
      <c r="AA695" s="3" t="s">
        <v>2161</v>
      </c>
      <c r="AB695" s="11" t="n">
        <v>46127</v>
      </c>
    </row>
    <row r="696" customFormat="false" ht="15" hidden="false" customHeight="false" outlineLevel="0" collapsed="false">
      <c r="A696" s="3" t="s">
        <v>2257</v>
      </c>
      <c r="B696" s="3" t="s">
        <v>378</v>
      </c>
      <c r="C696" s="3" t="s">
        <v>1711</v>
      </c>
      <c r="D696" s="3" t="s">
        <v>384</v>
      </c>
      <c r="E696" s="3" t="s">
        <v>2258</v>
      </c>
      <c r="F696" s="3" t="s">
        <v>1986</v>
      </c>
      <c r="G696" s="3" t="s">
        <v>1575</v>
      </c>
      <c r="H696" s="3" t="s">
        <v>1987</v>
      </c>
      <c r="I696" s="3" t="s">
        <v>2259</v>
      </c>
      <c r="M696" s="8" t="n">
        <v>199085</v>
      </c>
      <c r="P696" s="9" t="n">
        <v>54</v>
      </c>
      <c r="Q696" s="9" t="n">
        <v>13.6</v>
      </c>
      <c r="R696" s="9" t="n">
        <v>1</v>
      </c>
      <c r="S696" s="8" t="n">
        <v>77763</v>
      </c>
      <c r="T696" s="10" t="n">
        <v>30.6</v>
      </c>
      <c r="U696" s="9" t="n">
        <v>10</v>
      </c>
      <c r="V696" s="3" t="s">
        <v>92</v>
      </c>
      <c r="W696" s="9" t="n">
        <v>0.75</v>
      </c>
      <c r="Z696" s="3" t="s">
        <v>1578</v>
      </c>
      <c r="AA696" s="3" t="s">
        <v>2161</v>
      </c>
      <c r="AB696" s="11" t="n">
        <v>46127</v>
      </c>
    </row>
    <row r="697" customFormat="false" ht="15" hidden="false" customHeight="false" outlineLevel="0" collapsed="false">
      <c r="A697" s="3" t="s">
        <v>2260</v>
      </c>
      <c r="B697" s="3" t="s">
        <v>378</v>
      </c>
      <c r="C697" s="3" t="s">
        <v>1715</v>
      </c>
      <c r="D697" s="3" t="s">
        <v>391</v>
      </c>
      <c r="E697" s="3" t="s">
        <v>2261</v>
      </c>
      <c r="F697" s="3" t="s">
        <v>1986</v>
      </c>
      <c r="G697" s="3" t="s">
        <v>1575</v>
      </c>
      <c r="H697" s="3" t="s">
        <v>1987</v>
      </c>
      <c r="I697" s="3" t="s">
        <v>2262</v>
      </c>
      <c r="M697" s="8" t="n">
        <v>143955</v>
      </c>
      <c r="P697" s="9" t="n">
        <v>77</v>
      </c>
      <c r="Q697" s="9" t="n">
        <v>3.8</v>
      </c>
      <c r="R697" s="9" t="n">
        <v>1</v>
      </c>
      <c r="S697" s="8" t="n">
        <v>557215</v>
      </c>
      <c r="T697" s="10" t="n">
        <v>40.8</v>
      </c>
      <c r="U697" s="9" t="n">
        <v>10</v>
      </c>
      <c r="V697" s="3" t="s">
        <v>83</v>
      </c>
      <c r="W697" s="9" t="n">
        <v>0.75</v>
      </c>
      <c r="Z697" s="3" t="s">
        <v>1578</v>
      </c>
      <c r="AA697" s="3" t="s">
        <v>2161</v>
      </c>
      <c r="AB697" s="11" t="n">
        <v>46127</v>
      </c>
    </row>
    <row r="698" customFormat="false" ht="15" hidden="false" customHeight="false" outlineLevel="0" collapsed="false">
      <c r="A698" s="3" t="s">
        <v>2263</v>
      </c>
      <c r="B698" s="3" t="s">
        <v>378</v>
      </c>
      <c r="C698" s="3" t="s">
        <v>1719</v>
      </c>
      <c r="D698" s="3" t="s">
        <v>391</v>
      </c>
      <c r="E698" s="3" t="s">
        <v>2264</v>
      </c>
      <c r="F698" s="3" t="s">
        <v>1986</v>
      </c>
      <c r="G698" s="3" t="s">
        <v>1575</v>
      </c>
      <c r="H698" s="3" t="s">
        <v>1987</v>
      </c>
      <c r="I698" s="3" t="s">
        <v>2265</v>
      </c>
      <c r="M698" s="8" t="n">
        <v>417898</v>
      </c>
      <c r="P698" s="9" t="n">
        <v>46</v>
      </c>
      <c r="Q698" s="9" t="n">
        <v>17.7</v>
      </c>
      <c r="R698" s="9" t="n">
        <v>1</v>
      </c>
      <c r="S698" s="8" t="n">
        <v>694402</v>
      </c>
      <c r="T698" s="10" t="n">
        <v>36.1</v>
      </c>
      <c r="U698" s="9" t="n">
        <v>3</v>
      </c>
      <c r="V698" s="3" t="s">
        <v>62</v>
      </c>
      <c r="W698" s="9" t="n">
        <v>0.75</v>
      </c>
      <c r="Z698" s="3" t="s">
        <v>1578</v>
      </c>
      <c r="AA698" s="3" t="s">
        <v>2161</v>
      </c>
      <c r="AB698" s="11" t="n">
        <v>46127</v>
      </c>
    </row>
    <row r="699" customFormat="false" ht="15" hidden="false" customHeight="false" outlineLevel="0" collapsed="false">
      <c r="A699" s="3" t="s">
        <v>2266</v>
      </c>
      <c r="B699" s="3" t="s">
        <v>378</v>
      </c>
      <c r="C699" s="3" t="s">
        <v>1723</v>
      </c>
      <c r="D699" s="3" t="s">
        <v>384</v>
      </c>
      <c r="E699" s="3" t="s">
        <v>2267</v>
      </c>
      <c r="F699" s="3" t="s">
        <v>1986</v>
      </c>
      <c r="G699" s="3" t="s">
        <v>1575</v>
      </c>
      <c r="H699" s="3" t="s">
        <v>1987</v>
      </c>
      <c r="I699" s="3" t="s">
        <v>2268</v>
      </c>
      <c r="M699" s="8" t="n">
        <v>270256</v>
      </c>
      <c r="P699" s="9" t="n">
        <v>69</v>
      </c>
      <c r="Q699" s="9" t="n">
        <v>29.7</v>
      </c>
      <c r="R699" s="9" t="n">
        <v>1</v>
      </c>
      <c r="S699" s="8" t="n">
        <v>1335472</v>
      </c>
      <c r="T699" s="10" t="n">
        <v>74.8</v>
      </c>
      <c r="U699" s="9" t="n">
        <v>4</v>
      </c>
      <c r="V699" s="3" t="s">
        <v>92</v>
      </c>
      <c r="W699" s="9" t="n">
        <v>0.75</v>
      </c>
      <c r="Z699" s="3" t="s">
        <v>1578</v>
      </c>
      <c r="AA699" s="3" t="s">
        <v>2161</v>
      </c>
      <c r="AB699" s="11" t="n">
        <v>46127</v>
      </c>
    </row>
    <row r="700" customFormat="false" ht="15" hidden="false" customHeight="false" outlineLevel="0" collapsed="false">
      <c r="A700" s="3" t="s">
        <v>2269</v>
      </c>
      <c r="B700" s="3" t="s">
        <v>378</v>
      </c>
      <c r="C700" s="3" t="s">
        <v>1727</v>
      </c>
      <c r="D700" s="3" t="s">
        <v>384</v>
      </c>
      <c r="E700" s="3" t="s">
        <v>2270</v>
      </c>
      <c r="F700" s="3" t="s">
        <v>1986</v>
      </c>
      <c r="G700" s="3" t="s">
        <v>1575</v>
      </c>
      <c r="H700" s="3" t="s">
        <v>1987</v>
      </c>
      <c r="I700" s="3" t="s">
        <v>2271</v>
      </c>
      <c r="M700" s="8" t="n">
        <v>781286</v>
      </c>
      <c r="P700" s="9" t="n">
        <v>43</v>
      </c>
      <c r="Q700" s="9" t="n">
        <v>23.6</v>
      </c>
      <c r="R700" s="9" t="n">
        <v>1</v>
      </c>
      <c r="S700" s="8" t="n">
        <v>372530</v>
      </c>
      <c r="T700" s="10" t="n">
        <v>41.7</v>
      </c>
      <c r="U700" s="9" t="n">
        <v>3</v>
      </c>
      <c r="V700" s="3" t="s">
        <v>83</v>
      </c>
      <c r="W700" s="9" t="n">
        <v>0.75</v>
      </c>
      <c r="Z700" s="3" t="s">
        <v>1578</v>
      </c>
      <c r="AA700" s="3" t="s">
        <v>2161</v>
      </c>
      <c r="AB700" s="11" t="n">
        <v>46127</v>
      </c>
    </row>
    <row r="701" customFormat="false" ht="15" hidden="false" customHeight="false" outlineLevel="0" collapsed="false">
      <c r="A701" s="3" t="s">
        <v>2272</v>
      </c>
      <c r="B701" s="3" t="s">
        <v>378</v>
      </c>
      <c r="C701" s="3" t="s">
        <v>1731</v>
      </c>
      <c r="D701" s="3" t="s">
        <v>384</v>
      </c>
      <c r="E701" s="3" t="s">
        <v>2273</v>
      </c>
      <c r="F701" s="3" t="s">
        <v>1986</v>
      </c>
      <c r="G701" s="3" t="s">
        <v>1575</v>
      </c>
      <c r="H701" s="3" t="s">
        <v>1987</v>
      </c>
      <c r="I701" s="3" t="s">
        <v>2274</v>
      </c>
      <c r="M701" s="8" t="n">
        <v>302521</v>
      </c>
      <c r="P701" s="9" t="n">
        <v>60</v>
      </c>
      <c r="Q701" s="9" t="n">
        <v>25.8</v>
      </c>
      <c r="R701" s="9" t="n">
        <v>1</v>
      </c>
      <c r="S701" s="8" t="n">
        <v>575112</v>
      </c>
      <c r="T701" s="10" t="n">
        <v>32.6</v>
      </c>
      <c r="U701" s="9" t="n">
        <v>9</v>
      </c>
      <c r="V701" s="3" t="s">
        <v>92</v>
      </c>
      <c r="W701" s="9" t="n">
        <v>0.75</v>
      </c>
      <c r="Z701" s="3" t="s">
        <v>1578</v>
      </c>
      <c r="AA701" s="3" t="s">
        <v>2161</v>
      </c>
      <c r="AB701" s="11" t="n">
        <v>46127</v>
      </c>
    </row>
    <row r="702" customFormat="false" ht="15" hidden="false" customHeight="false" outlineLevel="0" collapsed="false">
      <c r="A702" s="3" t="s">
        <v>2275</v>
      </c>
      <c r="B702" s="3" t="s">
        <v>378</v>
      </c>
      <c r="C702" s="3" t="s">
        <v>1735</v>
      </c>
      <c r="D702" s="3" t="s">
        <v>379</v>
      </c>
      <c r="E702" s="3" t="s">
        <v>1497</v>
      </c>
      <c r="F702" s="3" t="s">
        <v>1986</v>
      </c>
      <c r="G702" s="3" t="s">
        <v>1575</v>
      </c>
      <c r="H702" s="3" t="s">
        <v>1987</v>
      </c>
      <c r="I702" s="3" t="s">
        <v>2276</v>
      </c>
      <c r="M702" s="8" t="n">
        <v>577788</v>
      </c>
      <c r="P702" s="9" t="n">
        <v>62</v>
      </c>
      <c r="Q702" s="9" t="n">
        <v>24.8</v>
      </c>
      <c r="R702" s="9" t="n">
        <v>2</v>
      </c>
      <c r="S702" s="8" t="n">
        <v>1248678</v>
      </c>
      <c r="T702" s="10" t="n">
        <v>64.7</v>
      </c>
      <c r="U702" s="9" t="n">
        <v>3</v>
      </c>
      <c r="V702" s="3" t="s">
        <v>55</v>
      </c>
      <c r="W702" s="9" t="n">
        <v>0.75</v>
      </c>
      <c r="Z702" s="3" t="s">
        <v>1578</v>
      </c>
      <c r="AA702" s="3" t="s">
        <v>2161</v>
      </c>
      <c r="AB702" s="11" t="n">
        <v>46127</v>
      </c>
    </row>
    <row r="703" customFormat="false" ht="15" hidden="false" customHeight="false" outlineLevel="0" collapsed="false">
      <c r="A703" s="3" t="s">
        <v>2277</v>
      </c>
      <c r="B703" s="3" t="s">
        <v>378</v>
      </c>
      <c r="C703" s="3" t="s">
        <v>1739</v>
      </c>
      <c r="D703" s="3" t="s">
        <v>391</v>
      </c>
      <c r="E703" s="3" t="s">
        <v>2278</v>
      </c>
      <c r="F703" s="3" t="s">
        <v>1986</v>
      </c>
      <c r="G703" s="3" t="s">
        <v>1575</v>
      </c>
      <c r="H703" s="3" t="s">
        <v>1987</v>
      </c>
      <c r="I703" s="3" t="s">
        <v>2279</v>
      </c>
      <c r="M703" s="8" t="n">
        <v>1233549</v>
      </c>
      <c r="P703" s="9" t="n">
        <v>75</v>
      </c>
      <c r="Q703" s="9" t="n">
        <v>22</v>
      </c>
      <c r="R703" s="9" t="n">
        <v>1</v>
      </c>
      <c r="S703" s="8" t="n">
        <v>344100</v>
      </c>
      <c r="T703" s="10" t="n">
        <v>71.9</v>
      </c>
      <c r="U703" s="9" t="n">
        <v>3</v>
      </c>
      <c r="V703" s="3" t="s">
        <v>83</v>
      </c>
      <c r="W703" s="9" t="n">
        <v>0.75</v>
      </c>
      <c r="Z703" s="3" t="s">
        <v>1578</v>
      </c>
      <c r="AA703" s="3" t="s">
        <v>2161</v>
      </c>
      <c r="AB703" s="11" t="n">
        <v>46127</v>
      </c>
    </row>
    <row r="704" customFormat="false" ht="15" hidden="false" customHeight="false" outlineLevel="0" collapsed="false">
      <c r="A704" s="3" t="s">
        <v>2280</v>
      </c>
      <c r="B704" s="3" t="s">
        <v>378</v>
      </c>
      <c r="C704" s="3" t="s">
        <v>1743</v>
      </c>
      <c r="D704" s="3" t="s">
        <v>379</v>
      </c>
      <c r="E704" s="3" t="s">
        <v>2281</v>
      </c>
      <c r="F704" s="3" t="s">
        <v>1986</v>
      </c>
      <c r="G704" s="3" t="s">
        <v>1575</v>
      </c>
      <c r="H704" s="3" t="s">
        <v>1987</v>
      </c>
      <c r="I704" s="3" t="s">
        <v>2282</v>
      </c>
      <c r="M704" s="8" t="n">
        <v>290813</v>
      </c>
      <c r="P704" s="9" t="n">
        <v>62</v>
      </c>
      <c r="Q704" s="9" t="n">
        <v>23.6</v>
      </c>
      <c r="R704" s="9" t="n">
        <v>1</v>
      </c>
      <c r="S704" s="8" t="n">
        <v>757362</v>
      </c>
      <c r="T704" s="10" t="n">
        <v>57.5</v>
      </c>
      <c r="U704" s="9" t="n">
        <v>8</v>
      </c>
      <c r="V704" s="3" t="s">
        <v>55</v>
      </c>
      <c r="W704" s="9" t="n">
        <v>0.75</v>
      </c>
      <c r="Z704" s="3" t="s">
        <v>1578</v>
      </c>
      <c r="AA704" s="3" t="s">
        <v>2161</v>
      </c>
      <c r="AB704" s="11" t="n">
        <v>46127</v>
      </c>
    </row>
    <row r="705" customFormat="false" ht="15" hidden="false" customHeight="false" outlineLevel="0" collapsed="false">
      <c r="A705" s="3" t="s">
        <v>2283</v>
      </c>
      <c r="B705" s="3" t="s">
        <v>378</v>
      </c>
      <c r="C705" s="3" t="s">
        <v>1747</v>
      </c>
      <c r="D705" s="3" t="s">
        <v>391</v>
      </c>
      <c r="E705" s="3" t="s">
        <v>2284</v>
      </c>
      <c r="F705" s="3" t="s">
        <v>1986</v>
      </c>
      <c r="G705" s="3" t="s">
        <v>1575</v>
      </c>
      <c r="H705" s="3" t="s">
        <v>1987</v>
      </c>
      <c r="I705" s="3" t="s">
        <v>2285</v>
      </c>
      <c r="M705" s="8" t="n">
        <v>180721</v>
      </c>
      <c r="P705" s="9" t="n">
        <v>50</v>
      </c>
      <c r="Q705" s="9" t="n">
        <v>3.3</v>
      </c>
      <c r="R705" s="9" t="n">
        <v>1</v>
      </c>
      <c r="S705" s="8" t="n">
        <v>315286</v>
      </c>
      <c r="T705" s="10" t="n">
        <v>60.5</v>
      </c>
      <c r="U705" s="9" t="n">
        <v>4</v>
      </c>
      <c r="V705" s="3" t="s">
        <v>62</v>
      </c>
      <c r="W705" s="9" t="n">
        <v>0.75</v>
      </c>
      <c r="Z705" s="3" t="s">
        <v>1578</v>
      </c>
      <c r="AA705" s="3" t="s">
        <v>2161</v>
      </c>
      <c r="AB705" s="11" t="n">
        <v>46127</v>
      </c>
    </row>
    <row r="706" customFormat="false" ht="15" hidden="false" customHeight="false" outlineLevel="0" collapsed="false">
      <c r="A706" s="3" t="s">
        <v>2286</v>
      </c>
      <c r="B706" s="3" t="s">
        <v>378</v>
      </c>
      <c r="C706" s="3" t="s">
        <v>1751</v>
      </c>
      <c r="D706" s="3" t="s">
        <v>384</v>
      </c>
      <c r="E706" s="3" t="s">
        <v>2287</v>
      </c>
      <c r="F706" s="3" t="s">
        <v>1986</v>
      </c>
      <c r="G706" s="3" t="s">
        <v>1575</v>
      </c>
      <c r="H706" s="3" t="s">
        <v>1987</v>
      </c>
      <c r="I706" s="3" t="s">
        <v>2288</v>
      </c>
      <c r="M706" s="8" t="n">
        <v>489623</v>
      </c>
      <c r="P706" s="9" t="n">
        <v>38</v>
      </c>
      <c r="Q706" s="9" t="n">
        <v>3.7</v>
      </c>
      <c r="R706" s="9" t="n">
        <v>1</v>
      </c>
      <c r="S706" s="8" t="n">
        <v>161475</v>
      </c>
      <c r="T706" s="10" t="n">
        <v>27.3</v>
      </c>
      <c r="U706" s="9" t="n">
        <v>1</v>
      </c>
      <c r="V706" s="3" t="s">
        <v>83</v>
      </c>
      <c r="W706" s="9" t="n">
        <v>0.75</v>
      </c>
      <c r="Z706" s="3" t="s">
        <v>1578</v>
      </c>
      <c r="AA706" s="3" t="s">
        <v>2161</v>
      </c>
      <c r="AB706" s="11" t="n">
        <v>46127</v>
      </c>
    </row>
    <row r="707" customFormat="false" ht="15" hidden="false" customHeight="false" outlineLevel="0" collapsed="false">
      <c r="A707" s="3" t="s">
        <v>2289</v>
      </c>
      <c r="B707" s="3" t="s">
        <v>378</v>
      </c>
      <c r="C707" s="3" t="s">
        <v>1755</v>
      </c>
      <c r="D707" s="3" t="s">
        <v>391</v>
      </c>
      <c r="E707" s="3" t="s">
        <v>2290</v>
      </c>
      <c r="F707" s="3" t="s">
        <v>1986</v>
      </c>
      <c r="G707" s="3" t="s">
        <v>1575</v>
      </c>
      <c r="H707" s="3" t="s">
        <v>1987</v>
      </c>
      <c r="I707" s="3" t="s">
        <v>2291</v>
      </c>
      <c r="M707" s="8" t="n">
        <v>401677</v>
      </c>
      <c r="P707" s="9" t="n">
        <v>45</v>
      </c>
      <c r="Q707" s="9" t="n">
        <v>25.7</v>
      </c>
      <c r="R707" s="9" t="n">
        <v>1</v>
      </c>
      <c r="S707" s="8" t="n">
        <v>1140912</v>
      </c>
      <c r="T707" s="10" t="n">
        <v>55.4</v>
      </c>
      <c r="U707" s="9" t="n">
        <v>8</v>
      </c>
      <c r="V707" s="3" t="s">
        <v>92</v>
      </c>
      <c r="W707" s="9" t="n">
        <v>0.75</v>
      </c>
      <c r="Z707" s="3" t="s">
        <v>1578</v>
      </c>
      <c r="AA707" s="3" t="s">
        <v>2161</v>
      </c>
      <c r="AB707" s="11" t="n">
        <v>46127</v>
      </c>
    </row>
    <row r="708" customFormat="false" ht="15" hidden="false" customHeight="false" outlineLevel="0" collapsed="false">
      <c r="A708" s="3" t="s">
        <v>2292</v>
      </c>
      <c r="B708" s="3" t="s">
        <v>378</v>
      </c>
      <c r="C708" s="3" t="s">
        <v>1759</v>
      </c>
      <c r="D708" s="3" t="s">
        <v>384</v>
      </c>
      <c r="E708" s="3" t="s">
        <v>2293</v>
      </c>
      <c r="F708" s="3" t="s">
        <v>1986</v>
      </c>
      <c r="G708" s="3" t="s">
        <v>1575</v>
      </c>
      <c r="H708" s="3" t="s">
        <v>1987</v>
      </c>
      <c r="I708" s="3" t="s">
        <v>1674</v>
      </c>
      <c r="M708" s="8" t="n">
        <v>325330</v>
      </c>
      <c r="P708" s="9" t="n">
        <v>64</v>
      </c>
      <c r="Q708" s="9" t="n">
        <v>19</v>
      </c>
      <c r="R708" s="9" t="n">
        <v>1</v>
      </c>
      <c r="S708" s="8" t="n">
        <v>493223</v>
      </c>
      <c r="T708" s="10" t="n">
        <v>58.3</v>
      </c>
      <c r="U708" s="9" t="n">
        <v>8</v>
      </c>
      <c r="V708" s="3" t="s">
        <v>83</v>
      </c>
      <c r="W708" s="9" t="n">
        <v>0.75</v>
      </c>
      <c r="Z708" s="3" t="s">
        <v>1578</v>
      </c>
      <c r="AA708" s="3" t="s">
        <v>2161</v>
      </c>
      <c r="AB708" s="11" t="n">
        <v>46127</v>
      </c>
    </row>
    <row r="709" customFormat="false" ht="15" hidden="false" customHeight="false" outlineLevel="0" collapsed="false">
      <c r="A709" s="3" t="s">
        <v>2294</v>
      </c>
      <c r="B709" s="3" t="s">
        <v>378</v>
      </c>
      <c r="C709" s="3" t="s">
        <v>1762</v>
      </c>
      <c r="D709" s="3" t="s">
        <v>379</v>
      </c>
      <c r="E709" s="3" t="s">
        <v>2295</v>
      </c>
      <c r="F709" s="3" t="s">
        <v>1986</v>
      </c>
      <c r="G709" s="3" t="s">
        <v>1575</v>
      </c>
      <c r="H709" s="3" t="s">
        <v>1987</v>
      </c>
      <c r="I709" s="3" t="s">
        <v>2296</v>
      </c>
      <c r="M709" s="8" t="n">
        <v>309177</v>
      </c>
      <c r="P709" s="9" t="n">
        <v>54</v>
      </c>
      <c r="Q709" s="9" t="n">
        <v>8.6</v>
      </c>
      <c r="R709" s="9" t="n">
        <v>1</v>
      </c>
      <c r="S709" s="8" t="n">
        <v>335101</v>
      </c>
      <c r="T709" s="10" t="n">
        <v>69.4</v>
      </c>
      <c r="U709" s="9" t="n">
        <v>2</v>
      </c>
      <c r="V709" s="3" t="s">
        <v>62</v>
      </c>
      <c r="W709" s="9" t="n">
        <v>0.75</v>
      </c>
      <c r="Z709" s="3" t="s">
        <v>1578</v>
      </c>
      <c r="AA709" s="3" t="s">
        <v>2161</v>
      </c>
      <c r="AB709" s="11" t="n">
        <v>46127</v>
      </c>
    </row>
    <row r="710" customFormat="false" ht="15" hidden="false" customHeight="false" outlineLevel="0" collapsed="false">
      <c r="A710" s="3" t="s">
        <v>2297</v>
      </c>
      <c r="B710" s="3" t="s">
        <v>378</v>
      </c>
      <c r="C710" s="3" t="s">
        <v>1766</v>
      </c>
      <c r="D710" s="3" t="s">
        <v>379</v>
      </c>
      <c r="E710" s="3" t="s">
        <v>2298</v>
      </c>
      <c r="F710" s="3" t="s">
        <v>1986</v>
      </c>
      <c r="G710" s="3" t="s">
        <v>1575</v>
      </c>
      <c r="H710" s="3" t="s">
        <v>1987</v>
      </c>
      <c r="I710" s="3" t="s">
        <v>2299</v>
      </c>
      <c r="M710" s="8" t="n">
        <v>536122</v>
      </c>
      <c r="P710" s="9" t="n">
        <v>63</v>
      </c>
      <c r="Q710" s="9" t="n">
        <v>14.8</v>
      </c>
      <c r="R710" s="9" t="n">
        <v>1</v>
      </c>
      <c r="S710" s="8" t="n">
        <v>600356</v>
      </c>
      <c r="T710" s="10" t="n">
        <v>51.1</v>
      </c>
      <c r="U710" s="9" t="n">
        <v>4</v>
      </c>
      <c r="V710" s="3" t="s">
        <v>83</v>
      </c>
      <c r="W710" s="9" t="n">
        <v>0.75</v>
      </c>
      <c r="Z710" s="3" t="s">
        <v>1578</v>
      </c>
      <c r="AA710" s="3" t="s">
        <v>2161</v>
      </c>
      <c r="AB710" s="11" t="n">
        <v>46127</v>
      </c>
    </row>
    <row r="711" customFormat="false" ht="15" hidden="false" customHeight="false" outlineLevel="0" collapsed="false">
      <c r="A711" s="3" t="s">
        <v>2300</v>
      </c>
      <c r="B711" s="3" t="s">
        <v>378</v>
      </c>
      <c r="C711" s="3" t="s">
        <v>1770</v>
      </c>
      <c r="D711" s="3" t="s">
        <v>384</v>
      </c>
      <c r="E711" s="3" t="s">
        <v>2301</v>
      </c>
      <c r="F711" s="3" t="s">
        <v>1986</v>
      </c>
      <c r="G711" s="3" t="s">
        <v>1575</v>
      </c>
      <c r="H711" s="3" t="s">
        <v>1987</v>
      </c>
      <c r="I711" s="3" t="s">
        <v>2302</v>
      </c>
      <c r="M711" s="8" t="n">
        <v>227816</v>
      </c>
      <c r="P711" s="9" t="n">
        <v>54</v>
      </c>
      <c r="Q711" s="9" t="n">
        <v>27.3</v>
      </c>
      <c r="R711" s="9" t="n">
        <v>1</v>
      </c>
      <c r="S711" s="8" t="n">
        <v>464224</v>
      </c>
      <c r="T711" s="10" t="n">
        <v>57.4</v>
      </c>
      <c r="U711" s="9" t="n">
        <v>6</v>
      </c>
      <c r="V711" s="3" t="s">
        <v>83</v>
      </c>
      <c r="W711" s="9" t="n">
        <v>0.75</v>
      </c>
      <c r="Z711" s="3" t="s">
        <v>1578</v>
      </c>
      <c r="AA711" s="3" t="s">
        <v>2161</v>
      </c>
      <c r="AB711" s="11" t="n">
        <v>46127</v>
      </c>
    </row>
    <row r="712" customFormat="false" ht="15" hidden="false" customHeight="false" outlineLevel="0" collapsed="false">
      <c r="A712" s="3" t="s">
        <v>2303</v>
      </c>
      <c r="B712" s="3" t="s">
        <v>378</v>
      </c>
      <c r="C712" s="3" t="s">
        <v>1774</v>
      </c>
      <c r="D712" s="3" t="s">
        <v>391</v>
      </c>
      <c r="E712" s="3" t="s">
        <v>2304</v>
      </c>
      <c r="F712" s="3" t="s">
        <v>1986</v>
      </c>
      <c r="G712" s="3" t="s">
        <v>1575</v>
      </c>
      <c r="H712" s="3" t="s">
        <v>1987</v>
      </c>
      <c r="I712" s="3" t="s">
        <v>2305</v>
      </c>
      <c r="M712" s="8" t="n">
        <v>562418</v>
      </c>
      <c r="P712" s="9" t="n">
        <v>57</v>
      </c>
      <c r="Q712" s="9" t="n">
        <v>4.8</v>
      </c>
      <c r="R712" s="9" t="n">
        <v>1</v>
      </c>
      <c r="S712" s="8" t="n">
        <v>290850</v>
      </c>
      <c r="T712" s="10" t="n">
        <v>15.6</v>
      </c>
      <c r="U712" s="9" t="n">
        <v>1</v>
      </c>
      <c r="V712" s="3" t="s">
        <v>92</v>
      </c>
      <c r="W712" s="9" t="n">
        <v>0.75</v>
      </c>
      <c r="Z712" s="3" t="s">
        <v>1578</v>
      </c>
      <c r="AA712" s="3" t="s">
        <v>2161</v>
      </c>
      <c r="AB712" s="11" t="n">
        <v>46127</v>
      </c>
    </row>
    <row r="713" customFormat="false" ht="15" hidden="false" customHeight="false" outlineLevel="0" collapsed="false">
      <c r="A713" s="3" t="s">
        <v>2306</v>
      </c>
      <c r="B713" s="3" t="s">
        <v>378</v>
      </c>
      <c r="C713" s="3" t="s">
        <v>1778</v>
      </c>
      <c r="D713" s="3" t="s">
        <v>384</v>
      </c>
      <c r="E713" s="3" t="s">
        <v>2307</v>
      </c>
      <c r="F713" s="3" t="s">
        <v>1986</v>
      </c>
      <c r="G713" s="3" t="s">
        <v>1575</v>
      </c>
      <c r="H713" s="3" t="s">
        <v>1987</v>
      </c>
      <c r="I713" s="3" t="s">
        <v>2308</v>
      </c>
      <c r="M713" s="8" t="n">
        <v>267635</v>
      </c>
      <c r="P713" s="9" t="n">
        <v>72</v>
      </c>
      <c r="Q713" s="9" t="n">
        <v>16.5</v>
      </c>
      <c r="R713" s="9" t="n">
        <v>1</v>
      </c>
      <c r="S713" s="8" t="n">
        <v>613948</v>
      </c>
      <c r="T713" s="10" t="n">
        <v>53.3</v>
      </c>
      <c r="U713" s="9" t="n">
        <v>5</v>
      </c>
      <c r="V713" s="3" t="s">
        <v>62</v>
      </c>
      <c r="W713" s="9" t="n">
        <v>0.75</v>
      </c>
      <c r="Z713" s="3" t="s">
        <v>1578</v>
      </c>
      <c r="AA713" s="3" t="s">
        <v>2161</v>
      </c>
      <c r="AB713" s="11" t="n">
        <v>46127</v>
      </c>
    </row>
    <row r="714" customFormat="false" ht="15" hidden="false" customHeight="false" outlineLevel="0" collapsed="false">
      <c r="A714" s="3" t="s">
        <v>2309</v>
      </c>
      <c r="B714" s="3" t="s">
        <v>378</v>
      </c>
      <c r="C714" s="3" t="s">
        <v>1782</v>
      </c>
      <c r="D714" s="3" t="s">
        <v>384</v>
      </c>
      <c r="E714" s="3" t="s">
        <v>2310</v>
      </c>
      <c r="F714" s="3" t="s">
        <v>1986</v>
      </c>
      <c r="G714" s="3" t="s">
        <v>1575</v>
      </c>
      <c r="H714" s="3" t="s">
        <v>1987</v>
      </c>
      <c r="I714" s="3" t="s">
        <v>2311</v>
      </c>
      <c r="M714" s="8" t="n">
        <v>146875</v>
      </c>
      <c r="P714" s="9" t="n">
        <v>43</v>
      </c>
      <c r="Q714" s="9" t="n">
        <v>22.7</v>
      </c>
      <c r="R714" s="9" t="n">
        <v>1</v>
      </c>
      <c r="S714" s="8" t="n">
        <v>1554565</v>
      </c>
      <c r="T714" s="10" t="n">
        <v>32.9</v>
      </c>
      <c r="U714" s="9" t="n">
        <v>9</v>
      </c>
      <c r="V714" s="3" t="s">
        <v>92</v>
      </c>
      <c r="W714" s="9" t="n">
        <v>0.75</v>
      </c>
      <c r="Z714" s="3" t="s">
        <v>1578</v>
      </c>
      <c r="AA714" s="3" t="s">
        <v>2161</v>
      </c>
      <c r="AB714" s="11" t="n">
        <v>46127</v>
      </c>
    </row>
    <row r="715" customFormat="false" ht="15" hidden="false" customHeight="false" outlineLevel="0" collapsed="false">
      <c r="A715" s="3" t="s">
        <v>2312</v>
      </c>
      <c r="B715" s="3" t="s">
        <v>378</v>
      </c>
      <c r="C715" s="3" t="s">
        <v>1786</v>
      </c>
      <c r="D715" s="3" t="s">
        <v>384</v>
      </c>
      <c r="E715" s="3" t="s">
        <v>2313</v>
      </c>
      <c r="F715" s="3" t="s">
        <v>1986</v>
      </c>
      <c r="G715" s="3" t="s">
        <v>1575</v>
      </c>
      <c r="H715" s="3" t="s">
        <v>1987</v>
      </c>
      <c r="I715" s="3" t="s">
        <v>2314</v>
      </c>
      <c r="M715" s="8" t="n">
        <v>992392</v>
      </c>
      <c r="P715" s="9" t="n">
        <v>36</v>
      </c>
      <c r="Q715" s="9" t="n">
        <v>25.8</v>
      </c>
      <c r="R715" s="9" t="n">
        <v>1</v>
      </c>
      <c r="S715" s="8" t="n">
        <v>1105927</v>
      </c>
      <c r="T715" s="10" t="n">
        <v>15.8</v>
      </c>
      <c r="U715" s="9" t="n">
        <v>5</v>
      </c>
      <c r="V715" s="3" t="s">
        <v>62</v>
      </c>
      <c r="W715" s="9" t="n">
        <v>0.75</v>
      </c>
      <c r="Z715" s="3" t="s">
        <v>1578</v>
      </c>
      <c r="AA715" s="3" t="s">
        <v>2161</v>
      </c>
      <c r="AB715" s="11" t="n">
        <v>46127</v>
      </c>
    </row>
    <row r="716" customFormat="false" ht="15" hidden="false" customHeight="false" outlineLevel="0" collapsed="false">
      <c r="A716" s="3" t="s">
        <v>2315</v>
      </c>
      <c r="B716" s="3" t="s">
        <v>378</v>
      </c>
      <c r="C716" s="3" t="s">
        <v>1790</v>
      </c>
      <c r="D716" s="3" t="s">
        <v>384</v>
      </c>
      <c r="E716" s="3" t="s">
        <v>2316</v>
      </c>
      <c r="F716" s="3" t="s">
        <v>1986</v>
      </c>
      <c r="G716" s="3" t="s">
        <v>1575</v>
      </c>
      <c r="H716" s="3" t="s">
        <v>1987</v>
      </c>
      <c r="I716" s="3" t="s">
        <v>2317</v>
      </c>
      <c r="M716" s="8" t="n">
        <v>290176</v>
      </c>
      <c r="P716" s="9" t="n">
        <v>67</v>
      </c>
      <c r="Q716" s="9" t="n">
        <v>27.3</v>
      </c>
      <c r="R716" s="9" t="n">
        <v>3</v>
      </c>
      <c r="S716" s="8" t="n">
        <v>291679</v>
      </c>
      <c r="T716" s="10" t="n">
        <v>45.9</v>
      </c>
      <c r="U716" s="9" t="n">
        <v>5</v>
      </c>
      <c r="V716" s="3" t="s">
        <v>83</v>
      </c>
      <c r="W716" s="9" t="n">
        <v>0.75</v>
      </c>
      <c r="Z716" s="3" t="s">
        <v>1578</v>
      </c>
      <c r="AA716" s="3" t="s">
        <v>2161</v>
      </c>
      <c r="AB716" s="11" t="n">
        <v>46127</v>
      </c>
    </row>
    <row r="717" customFormat="false" ht="15" hidden="false" customHeight="false" outlineLevel="0" collapsed="false">
      <c r="A717" s="3" t="s">
        <v>2318</v>
      </c>
      <c r="B717" s="3" t="s">
        <v>378</v>
      </c>
      <c r="C717" s="3" t="s">
        <v>1794</v>
      </c>
      <c r="D717" s="3" t="s">
        <v>391</v>
      </c>
      <c r="E717" s="3" t="s">
        <v>2319</v>
      </c>
      <c r="F717" s="3" t="s">
        <v>1986</v>
      </c>
      <c r="G717" s="3" t="s">
        <v>1575</v>
      </c>
      <c r="H717" s="3" t="s">
        <v>1987</v>
      </c>
      <c r="I717" s="3" t="s">
        <v>2320</v>
      </c>
      <c r="M717" s="8" t="n">
        <v>375751</v>
      </c>
      <c r="P717" s="9" t="n">
        <v>70</v>
      </c>
      <c r="Q717" s="9" t="n">
        <v>5</v>
      </c>
      <c r="R717" s="9" t="n">
        <v>1</v>
      </c>
      <c r="S717" s="8" t="n">
        <v>694813</v>
      </c>
      <c r="T717" s="10" t="n">
        <v>24.6</v>
      </c>
      <c r="U717" s="9" t="n">
        <v>3</v>
      </c>
      <c r="V717" s="3" t="s">
        <v>83</v>
      </c>
      <c r="W717" s="9" t="n">
        <v>0.75</v>
      </c>
      <c r="Z717" s="3" t="s">
        <v>1578</v>
      </c>
      <c r="AA717" s="3" t="s">
        <v>2161</v>
      </c>
      <c r="AB717" s="11" t="n">
        <v>46127</v>
      </c>
    </row>
    <row r="718" customFormat="false" ht="15" hidden="false" customHeight="false" outlineLevel="0" collapsed="false">
      <c r="A718" s="3" t="s">
        <v>2321</v>
      </c>
      <c r="B718" s="3" t="s">
        <v>378</v>
      </c>
      <c r="C718" s="3" t="s">
        <v>1798</v>
      </c>
      <c r="D718" s="3" t="s">
        <v>379</v>
      </c>
      <c r="E718" s="3" t="s">
        <v>2322</v>
      </c>
      <c r="F718" s="3" t="s">
        <v>1986</v>
      </c>
      <c r="G718" s="3" t="s">
        <v>1575</v>
      </c>
      <c r="H718" s="3" t="s">
        <v>1987</v>
      </c>
      <c r="I718" s="3" t="s">
        <v>2323</v>
      </c>
      <c r="M718" s="8" t="n">
        <v>429709</v>
      </c>
      <c r="P718" s="9" t="n">
        <v>75</v>
      </c>
      <c r="Q718" s="9" t="n">
        <v>5.2</v>
      </c>
      <c r="R718" s="9" t="n">
        <v>1</v>
      </c>
      <c r="S718" s="8" t="n">
        <v>707770</v>
      </c>
      <c r="T718" s="10" t="n">
        <v>81.8</v>
      </c>
      <c r="U718" s="9" t="n">
        <v>10</v>
      </c>
      <c r="V718" s="3" t="s">
        <v>55</v>
      </c>
      <c r="W718" s="9" t="n">
        <v>0.75</v>
      </c>
      <c r="Z718" s="3" t="s">
        <v>1578</v>
      </c>
      <c r="AA718" s="3" t="s">
        <v>2161</v>
      </c>
      <c r="AB718" s="11" t="n">
        <v>46127</v>
      </c>
    </row>
    <row r="719" customFormat="false" ht="15" hidden="false" customHeight="false" outlineLevel="0" collapsed="false">
      <c r="A719" s="3" t="s">
        <v>2324</v>
      </c>
      <c r="B719" s="3" t="s">
        <v>378</v>
      </c>
      <c r="C719" s="3" t="s">
        <v>1802</v>
      </c>
      <c r="D719" s="3" t="s">
        <v>391</v>
      </c>
      <c r="E719" s="3" t="s">
        <v>2325</v>
      </c>
      <c r="F719" s="3" t="s">
        <v>1986</v>
      </c>
      <c r="G719" s="3" t="s">
        <v>1575</v>
      </c>
      <c r="H719" s="3" t="s">
        <v>1987</v>
      </c>
      <c r="I719" s="3" t="s">
        <v>2326</v>
      </c>
      <c r="M719" s="8" t="n">
        <v>175484</v>
      </c>
      <c r="P719" s="9" t="n">
        <v>43</v>
      </c>
      <c r="Q719" s="9" t="n">
        <v>3.9</v>
      </c>
      <c r="R719" s="9" t="n">
        <v>1</v>
      </c>
      <c r="S719" s="8" t="n">
        <v>298060</v>
      </c>
      <c r="T719" s="10" t="n">
        <v>40.2</v>
      </c>
      <c r="U719" s="9" t="n">
        <v>9</v>
      </c>
      <c r="V719" s="3" t="s">
        <v>83</v>
      </c>
      <c r="W719" s="9" t="n">
        <v>0.75</v>
      </c>
      <c r="Z719" s="3" t="s">
        <v>1578</v>
      </c>
      <c r="AA719" s="3" t="s">
        <v>2161</v>
      </c>
      <c r="AB719" s="11" t="n">
        <v>46127</v>
      </c>
    </row>
    <row r="720" customFormat="false" ht="15" hidden="false" customHeight="false" outlineLevel="0" collapsed="false">
      <c r="A720" s="3" t="s">
        <v>2327</v>
      </c>
      <c r="B720" s="3" t="s">
        <v>378</v>
      </c>
      <c r="C720" s="3" t="s">
        <v>1806</v>
      </c>
      <c r="D720" s="3" t="s">
        <v>391</v>
      </c>
      <c r="E720" s="3" t="s">
        <v>2328</v>
      </c>
      <c r="F720" s="3" t="s">
        <v>1986</v>
      </c>
      <c r="G720" s="3" t="s">
        <v>1575</v>
      </c>
      <c r="H720" s="3" t="s">
        <v>1987</v>
      </c>
      <c r="I720" s="3" t="s">
        <v>2329</v>
      </c>
      <c r="M720" s="8" t="n">
        <v>162938</v>
      </c>
      <c r="P720" s="9" t="n">
        <v>66</v>
      </c>
      <c r="Q720" s="9" t="n">
        <v>8.9</v>
      </c>
      <c r="R720" s="9" t="n">
        <v>1</v>
      </c>
      <c r="S720" s="8" t="n">
        <v>826158</v>
      </c>
      <c r="T720" s="10" t="n">
        <v>26</v>
      </c>
      <c r="U720" s="9" t="n">
        <v>3</v>
      </c>
      <c r="V720" s="3" t="s">
        <v>62</v>
      </c>
      <c r="W720" s="9" t="n">
        <v>0.75</v>
      </c>
      <c r="Z720" s="3" t="s">
        <v>1578</v>
      </c>
      <c r="AA720" s="3" t="s">
        <v>2161</v>
      </c>
      <c r="AB720" s="11" t="n">
        <v>46127</v>
      </c>
    </row>
    <row r="721" customFormat="false" ht="15" hidden="false" customHeight="false" outlineLevel="0" collapsed="false">
      <c r="A721" s="3" t="s">
        <v>2330</v>
      </c>
      <c r="B721" s="3" t="s">
        <v>378</v>
      </c>
      <c r="C721" s="3" t="s">
        <v>1809</v>
      </c>
      <c r="D721" s="3" t="s">
        <v>379</v>
      </c>
      <c r="E721" s="3" t="s">
        <v>2331</v>
      </c>
      <c r="F721" s="3" t="s">
        <v>1986</v>
      </c>
      <c r="G721" s="3" t="s">
        <v>1575</v>
      </c>
      <c r="H721" s="3" t="s">
        <v>1987</v>
      </c>
      <c r="I721" s="3" t="s">
        <v>2332</v>
      </c>
      <c r="M721" s="8" t="n">
        <v>386149</v>
      </c>
      <c r="P721" s="9" t="n">
        <v>37</v>
      </c>
      <c r="Q721" s="9" t="n">
        <v>15.2</v>
      </c>
      <c r="R721" s="9" t="n">
        <v>1</v>
      </c>
      <c r="S721" s="8" t="n">
        <v>101293</v>
      </c>
      <c r="T721" s="10" t="n">
        <v>24.4</v>
      </c>
      <c r="U721" s="9" t="n">
        <v>5</v>
      </c>
      <c r="V721" s="3" t="s">
        <v>55</v>
      </c>
      <c r="W721" s="9" t="n">
        <v>0.75</v>
      </c>
      <c r="Z721" s="3" t="s">
        <v>1578</v>
      </c>
      <c r="AA721" s="3" t="s">
        <v>2161</v>
      </c>
      <c r="AB721" s="11" t="n">
        <v>46127</v>
      </c>
    </row>
    <row r="722" customFormat="false" ht="15" hidden="false" customHeight="false" outlineLevel="0" collapsed="false">
      <c r="A722" s="3" t="s">
        <v>2333</v>
      </c>
      <c r="B722" s="3" t="s">
        <v>48</v>
      </c>
      <c r="C722" s="3" t="s">
        <v>2334</v>
      </c>
      <c r="E722" s="3" t="s">
        <v>2335</v>
      </c>
      <c r="F722" s="3" t="s">
        <v>2336</v>
      </c>
      <c r="G722" s="3" t="s">
        <v>2337</v>
      </c>
      <c r="H722" s="3" t="s">
        <v>2338</v>
      </c>
      <c r="I722" s="3" t="s">
        <v>2339</v>
      </c>
      <c r="M722" s="8" t="n">
        <v>422192</v>
      </c>
      <c r="N722" s="8" t="n">
        <v>399894</v>
      </c>
      <c r="O722" s="9" t="n">
        <v>25.2</v>
      </c>
      <c r="P722" s="9" t="n">
        <v>65</v>
      </c>
      <c r="R722" s="9" t="n">
        <v>1</v>
      </c>
      <c r="T722" s="10" t="n">
        <v>47.9</v>
      </c>
      <c r="U722" s="9" t="n">
        <v>4</v>
      </c>
      <c r="V722" s="3" t="s">
        <v>62</v>
      </c>
      <c r="W722" s="9" t="n">
        <v>0.75</v>
      </c>
      <c r="Z722" s="3" t="s">
        <v>1578</v>
      </c>
      <c r="AA722" s="3" t="s">
        <v>2340</v>
      </c>
      <c r="AB722" s="11" t="n">
        <v>46127</v>
      </c>
    </row>
    <row r="723" customFormat="false" ht="15" hidden="false" customHeight="false" outlineLevel="0" collapsed="false">
      <c r="A723" s="3" t="s">
        <v>2341</v>
      </c>
      <c r="B723" s="3" t="s">
        <v>48</v>
      </c>
      <c r="C723" s="3" t="s">
        <v>2342</v>
      </c>
      <c r="E723" s="3" t="s">
        <v>2343</v>
      </c>
      <c r="F723" s="3" t="s">
        <v>2336</v>
      </c>
      <c r="G723" s="3" t="s">
        <v>2337</v>
      </c>
      <c r="H723" s="3" t="s">
        <v>2338</v>
      </c>
      <c r="I723" s="3" t="s">
        <v>2344</v>
      </c>
      <c r="M723" s="8" t="n">
        <v>291016</v>
      </c>
      <c r="N723" s="8" t="n">
        <v>102704</v>
      </c>
      <c r="O723" s="9" t="n">
        <v>18.9</v>
      </c>
      <c r="P723" s="9" t="n">
        <v>66</v>
      </c>
      <c r="R723" s="9" t="n">
        <v>1</v>
      </c>
      <c r="T723" s="10" t="n">
        <v>86.2</v>
      </c>
      <c r="U723" s="9" t="n">
        <v>6</v>
      </c>
      <c r="V723" s="3" t="s">
        <v>92</v>
      </c>
      <c r="W723" s="9" t="n">
        <v>0.75</v>
      </c>
      <c r="Z723" s="3" t="s">
        <v>1578</v>
      </c>
      <c r="AA723" s="3" t="s">
        <v>2340</v>
      </c>
      <c r="AB723" s="11" t="n">
        <v>46127</v>
      </c>
    </row>
    <row r="724" customFormat="false" ht="15" hidden="false" customHeight="false" outlineLevel="0" collapsed="false">
      <c r="A724" s="3" t="s">
        <v>2345</v>
      </c>
      <c r="B724" s="3" t="s">
        <v>48</v>
      </c>
      <c r="C724" s="3" t="s">
        <v>2346</v>
      </c>
      <c r="E724" s="3" t="s">
        <v>2347</v>
      </c>
      <c r="F724" s="3" t="s">
        <v>2336</v>
      </c>
      <c r="G724" s="3" t="s">
        <v>2337</v>
      </c>
      <c r="H724" s="3" t="s">
        <v>2338</v>
      </c>
      <c r="I724" s="3" t="s">
        <v>2348</v>
      </c>
      <c r="M724" s="8" t="n">
        <v>333798</v>
      </c>
      <c r="N724" s="8" t="n">
        <v>259436</v>
      </c>
      <c r="O724" s="9" t="n">
        <v>9.6</v>
      </c>
      <c r="P724" s="9" t="n">
        <v>58</v>
      </c>
      <c r="R724" s="9" t="n">
        <v>1</v>
      </c>
      <c r="T724" s="10" t="n">
        <v>59.3</v>
      </c>
      <c r="U724" s="9" t="n">
        <v>1</v>
      </c>
      <c r="V724" s="3" t="s">
        <v>55</v>
      </c>
      <c r="W724" s="9" t="n">
        <v>0.75</v>
      </c>
      <c r="Z724" s="3" t="s">
        <v>1578</v>
      </c>
      <c r="AA724" s="3" t="s">
        <v>2340</v>
      </c>
      <c r="AB724" s="11" t="n">
        <v>46127</v>
      </c>
    </row>
    <row r="725" customFormat="false" ht="15" hidden="false" customHeight="false" outlineLevel="0" collapsed="false">
      <c r="A725" s="3" t="s">
        <v>2349</v>
      </c>
      <c r="B725" s="3" t="s">
        <v>48</v>
      </c>
      <c r="C725" s="3" t="s">
        <v>2350</v>
      </c>
      <c r="E725" s="3" t="s">
        <v>2351</v>
      </c>
      <c r="F725" s="3" t="s">
        <v>2336</v>
      </c>
      <c r="G725" s="3" t="s">
        <v>2337</v>
      </c>
      <c r="H725" s="3" t="s">
        <v>2338</v>
      </c>
      <c r="I725" s="3" t="s">
        <v>2352</v>
      </c>
      <c r="M725" s="8" t="n">
        <v>342378</v>
      </c>
      <c r="N725" s="8" t="n">
        <v>457607</v>
      </c>
      <c r="O725" s="9" t="n">
        <v>29.4</v>
      </c>
      <c r="P725" s="9" t="n">
        <v>38</v>
      </c>
      <c r="R725" s="9" t="n">
        <v>1</v>
      </c>
      <c r="T725" s="10" t="n">
        <v>47.5</v>
      </c>
      <c r="U725" s="9" t="n">
        <v>8</v>
      </c>
      <c r="V725" s="3" t="s">
        <v>83</v>
      </c>
      <c r="W725" s="9" t="n">
        <v>0.75</v>
      </c>
      <c r="Z725" s="3" t="s">
        <v>1578</v>
      </c>
      <c r="AA725" s="3" t="s">
        <v>2340</v>
      </c>
      <c r="AB725" s="11" t="n">
        <v>46127</v>
      </c>
    </row>
    <row r="726" customFormat="false" ht="15" hidden="false" customHeight="false" outlineLevel="0" collapsed="false">
      <c r="A726" s="3" t="s">
        <v>2353</v>
      </c>
      <c r="B726" s="3" t="s">
        <v>48</v>
      </c>
      <c r="C726" s="3" t="s">
        <v>2354</v>
      </c>
      <c r="E726" s="3" t="s">
        <v>2355</v>
      </c>
      <c r="F726" s="3" t="s">
        <v>2336</v>
      </c>
      <c r="G726" s="3" t="s">
        <v>2337</v>
      </c>
      <c r="H726" s="3" t="s">
        <v>2338</v>
      </c>
      <c r="I726" s="3" t="s">
        <v>2356</v>
      </c>
      <c r="M726" s="8" t="n">
        <v>265824</v>
      </c>
      <c r="N726" s="8" t="n">
        <v>258861</v>
      </c>
      <c r="O726" s="9" t="n">
        <v>19.7</v>
      </c>
      <c r="P726" s="9" t="n">
        <v>37</v>
      </c>
      <c r="R726" s="9" t="n">
        <v>1</v>
      </c>
      <c r="T726" s="10" t="n">
        <v>54.3</v>
      </c>
      <c r="U726" s="9" t="n">
        <v>1</v>
      </c>
      <c r="V726" s="3" t="s">
        <v>83</v>
      </c>
      <c r="W726" s="9" t="n">
        <v>0.75</v>
      </c>
      <c r="Z726" s="3" t="s">
        <v>1578</v>
      </c>
      <c r="AA726" s="3" t="s">
        <v>2340</v>
      </c>
      <c r="AB726" s="11" t="n">
        <v>46127</v>
      </c>
    </row>
    <row r="727" customFormat="false" ht="15" hidden="false" customHeight="false" outlineLevel="0" collapsed="false">
      <c r="A727" s="3" t="s">
        <v>2357</v>
      </c>
      <c r="B727" s="3" t="s">
        <v>48</v>
      </c>
      <c r="C727" s="3" t="s">
        <v>2358</v>
      </c>
      <c r="E727" s="3" t="s">
        <v>2359</v>
      </c>
      <c r="F727" s="3" t="s">
        <v>2336</v>
      </c>
      <c r="G727" s="3" t="s">
        <v>2337</v>
      </c>
      <c r="H727" s="3" t="s">
        <v>2338</v>
      </c>
      <c r="I727" s="3" t="s">
        <v>2360</v>
      </c>
      <c r="M727" s="8" t="n">
        <v>636646</v>
      </c>
      <c r="N727" s="8" t="n">
        <v>593054</v>
      </c>
      <c r="O727" s="9" t="n">
        <v>26</v>
      </c>
      <c r="P727" s="9" t="n">
        <v>75</v>
      </c>
      <c r="R727" s="9" t="n">
        <v>1</v>
      </c>
      <c r="T727" s="10" t="n">
        <v>88.4</v>
      </c>
      <c r="U727" s="9" t="n">
        <v>2</v>
      </c>
      <c r="V727" s="3" t="s">
        <v>62</v>
      </c>
      <c r="W727" s="9" t="n">
        <v>0.75</v>
      </c>
      <c r="Z727" s="3" t="s">
        <v>1578</v>
      </c>
      <c r="AA727" s="3" t="s">
        <v>2340</v>
      </c>
      <c r="AB727" s="11" t="n">
        <v>46127</v>
      </c>
    </row>
    <row r="728" customFormat="false" ht="15" hidden="false" customHeight="false" outlineLevel="0" collapsed="false">
      <c r="A728" s="3" t="s">
        <v>2361</v>
      </c>
      <c r="B728" s="3" t="s">
        <v>48</v>
      </c>
      <c r="C728" s="3" t="s">
        <v>2362</v>
      </c>
      <c r="E728" s="3" t="s">
        <v>2363</v>
      </c>
      <c r="F728" s="3" t="s">
        <v>2336</v>
      </c>
      <c r="G728" s="3" t="s">
        <v>2337</v>
      </c>
      <c r="H728" s="3" t="s">
        <v>2338</v>
      </c>
      <c r="I728" s="3" t="s">
        <v>2364</v>
      </c>
      <c r="M728" s="8" t="n">
        <v>276932</v>
      </c>
      <c r="N728" s="8" t="n">
        <v>878773</v>
      </c>
      <c r="O728" s="9" t="n">
        <v>9.6</v>
      </c>
      <c r="P728" s="9" t="n">
        <v>44</v>
      </c>
      <c r="R728" s="9" t="n">
        <v>1</v>
      </c>
      <c r="T728" s="10" t="n">
        <v>19.9</v>
      </c>
      <c r="U728" s="9" t="n">
        <v>8</v>
      </c>
      <c r="V728" s="3" t="s">
        <v>55</v>
      </c>
      <c r="W728" s="9" t="n">
        <v>0.75</v>
      </c>
      <c r="Z728" s="3" t="s">
        <v>1578</v>
      </c>
      <c r="AA728" s="3" t="s">
        <v>2340</v>
      </c>
      <c r="AB728" s="11" t="n">
        <v>46127</v>
      </c>
    </row>
    <row r="729" customFormat="false" ht="15" hidden="false" customHeight="false" outlineLevel="0" collapsed="false">
      <c r="A729" s="3" t="s">
        <v>2365</v>
      </c>
      <c r="B729" s="3" t="s">
        <v>48</v>
      </c>
      <c r="C729" s="3" t="s">
        <v>2366</v>
      </c>
      <c r="E729" s="3" t="s">
        <v>2367</v>
      </c>
      <c r="F729" s="3" t="s">
        <v>2336</v>
      </c>
      <c r="G729" s="3" t="s">
        <v>2337</v>
      </c>
      <c r="H729" s="3" t="s">
        <v>2338</v>
      </c>
      <c r="I729" s="3" t="s">
        <v>2368</v>
      </c>
      <c r="M729" s="8" t="n">
        <v>194189</v>
      </c>
      <c r="N729" s="8" t="n">
        <v>339778</v>
      </c>
      <c r="O729" s="9" t="n">
        <v>24.6</v>
      </c>
      <c r="P729" s="9" t="n">
        <v>56</v>
      </c>
      <c r="R729" s="9" t="n">
        <v>3</v>
      </c>
      <c r="T729" s="10" t="n">
        <v>58.5</v>
      </c>
      <c r="U729" s="9" t="n">
        <v>7</v>
      </c>
      <c r="V729" s="3" t="s">
        <v>55</v>
      </c>
      <c r="W729" s="9" t="n">
        <v>0.75</v>
      </c>
      <c r="Z729" s="3" t="s">
        <v>1578</v>
      </c>
      <c r="AA729" s="3" t="s">
        <v>2340</v>
      </c>
      <c r="AB729" s="11" t="n">
        <v>46127</v>
      </c>
    </row>
    <row r="730" customFormat="false" ht="15" hidden="false" customHeight="false" outlineLevel="0" collapsed="false">
      <c r="A730" s="3" t="s">
        <v>2369</v>
      </c>
      <c r="B730" s="3" t="s">
        <v>48</v>
      </c>
      <c r="C730" s="3" t="s">
        <v>2370</v>
      </c>
      <c r="E730" s="3" t="s">
        <v>2371</v>
      </c>
      <c r="F730" s="3" t="s">
        <v>2336</v>
      </c>
      <c r="G730" s="3" t="s">
        <v>2337</v>
      </c>
      <c r="H730" s="3" t="s">
        <v>2338</v>
      </c>
      <c r="I730" s="3" t="s">
        <v>2372</v>
      </c>
      <c r="M730" s="8" t="n">
        <v>728987</v>
      </c>
      <c r="N730" s="8" t="n">
        <v>510322</v>
      </c>
      <c r="O730" s="9" t="n">
        <v>27.6</v>
      </c>
      <c r="P730" s="9" t="n">
        <v>48</v>
      </c>
      <c r="R730" s="9" t="n">
        <v>1</v>
      </c>
      <c r="T730" s="10" t="n">
        <v>70.7</v>
      </c>
      <c r="U730" s="9" t="n">
        <v>10</v>
      </c>
      <c r="V730" s="3" t="s">
        <v>83</v>
      </c>
      <c r="W730" s="9" t="n">
        <v>0.75</v>
      </c>
      <c r="Z730" s="3" t="s">
        <v>1578</v>
      </c>
      <c r="AA730" s="3" t="s">
        <v>2340</v>
      </c>
      <c r="AB730" s="11" t="n">
        <v>46127</v>
      </c>
    </row>
    <row r="731" customFormat="false" ht="15" hidden="false" customHeight="false" outlineLevel="0" collapsed="false">
      <c r="A731" s="3" t="s">
        <v>2373</v>
      </c>
      <c r="B731" s="3" t="s">
        <v>48</v>
      </c>
      <c r="C731" s="3" t="s">
        <v>2374</v>
      </c>
      <c r="E731" s="3" t="s">
        <v>2375</v>
      </c>
      <c r="F731" s="3" t="s">
        <v>2336</v>
      </c>
      <c r="G731" s="3" t="s">
        <v>2337</v>
      </c>
      <c r="H731" s="3" t="s">
        <v>2338</v>
      </c>
      <c r="I731" s="3" t="s">
        <v>2376</v>
      </c>
      <c r="M731" s="8" t="n">
        <v>448449</v>
      </c>
      <c r="N731" s="8" t="n">
        <v>106782</v>
      </c>
      <c r="O731" s="9" t="n">
        <v>7.1</v>
      </c>
      <c r="P731" s="9" t="n">
        <v>62</v>
      </c>
      <c r="R731" s="9" t="n">
        <v>1</v>
      </c>
      <c r="T731" s="10" t="n">
        <v>53.2</v>
      </c>
      <c r="U731" s="9" t="n">
        <v>3</v>
      </c>
      <c r="V731" s="3" t="s">
        <v>92</v>
      </c>
      <c r="W731" s="9" t="n">
        <v>0.75</v>
      </c>
      <c r="Z731" s="3" t="s">
        <v>1578</v>
      </c>
      <c r="AA731" s="3" t="s">
        <v>2340</v>
      </c>
      <c r="AB731" s="11" t="n">
        <v>46127</v>
      </c>
    </row>
    <row r="732" customFormat="false" ht="15" hidden="false" customHeight="false" outlineLevel="0" collapsed="false">
      <c r="A732" s="3" t="s">
        <v>2377</v>
      </c>
      <c r="B732" s="3" t="s">
        <v>48</v>
      </c>
      <c r="C732" s="3" t="s">
        <v>2378</v>
      </c>
      <c r="E732" s="3" t="s">
        <v>2379</v>
      </c>
      <c r="F732" s="3" t="s">
        <v>2336</v>
      </c>
      <c r="G732" s="3" t="s">
        <v>2337</v>
      </c>
      <c r="H732" s="3" t="s">
        <v>2338</v>
      </c>
      <c r="I732" s="3" t="s">
        <v>2380</v>
      </c>
      <c r="M732" s="8" t="n">
        <v>198581</v>
      </c>
      <c r="N732" s="8" t="n">
        <v>321202</v>
      </c>
      <c r="O732" s="9" t="n">
        <v>18.5</v>
      </c>
      <c r="P732" s="9" t="n">
        <v>55</v>
      </c>
      <c r="R732" s="9" t="n">
        <v>1</v>
      </c>
      <c r="T732" s="10" t="n">
        <v>29.7</v>
      </c>
      <c r="U732" s="9" t="n">
        <v>9</v>
      </c>
      <c r="V732" s="3" t="s">
        <v>55</v>
      </c>
      <c r="W732" s="9" t="n">
        <v>0.75</v>
      </c>
      <c r="Z732" s="3" t="s">
        <v>1578</v>
      </c>
      <c r="AA732" s="3" t="s">
        <v>2340</v>
      </c>
      <c r="AB732" s="11" t="n">
        <v>46127</v>
      </c>
    </row>
    <row r="733" customFormat="false" ht="15" hidden="false" customHeight="false" outlineLevel="0" collapsed="false">
      <c r="A733" s="3" t="s">
        <v>2381</v>
      </c>
      <c r="B733" s="3" t="s">
        <v>48</v>
      </c>
      <c r="C733" s="3" t="s">
        <v>2382</v>
      </c>
      <c r="E733" s="3" t="s">
        <v>2383</v>
      </c>
      <c r="F733" s="3" t="s">
        <v>2336</v>
      </c>
      <c r="G733" s="3" t="s">
        <v>2337</v>
      </c>
      <c r="H733" s="3" t="s">
        <v>2338</v>
      </c>
      <c r="I733" s="3" t="s">
        <v>2384</v>
      </c>
      <c r="M733" s="8" t="n">
        <v>176557</v>
      </c>
      <c r="N733" s="8" t="n">
        <v>299052</v>
      </c>
      <c r="O733" s="9" t="n">
        <v>28.7</v>
      </c>
      <c r="P733" s="9" t="n">
        <v>75</v>
      </c>
      <c r="R733" s="9" t="n">
        <v>3</v>
      </c>
      <c r="T733" s="10" t="n">
        <v>91.3</v>
      </c>
      <c r="U733" s="9" t="n">
        <v>4</v>
      </c>
      <c r="V733" s="3" t="s">
        <v>62</v>
      </c>
      <c r="W733" s="9" t="n">
        <v>0.75</v>
      </c>
      <c r="Z733" s="3" t="s">
        <v>1578</v>
      </c>
      <c r="AA733" s="3" t="s">
        <v>2340</v>
      </c>
      <c r="AB733" s="11" t="n">
        <v>46127</v>
      </c>
    </row>
    <row r="734" customFormat="false" ht="15" hidden="false" customHeight="false" outlineLevel="0" collapsed="false">
      <c r="A734" s="3" t="s">
        <v>2385</v>
      </c>
      <c r="B734" s="3" t="s">
        <v>48</v>
      </c>
      <c r="C734" s="3" t="s">
        <v>2386</v>
      </c>
      <c r="E734" s="3" t="s">
        <v>2387</v>
      </c>
      <c r="F734" s="3" t="s">
        <v>2336</v>
      </c>
      <c r="G734" s="3" t="s">
        <v>2337</v>
      </c>
      <c r="H734" s="3" t="s">
        <v>2338</v>
      </c>
      <c r="I734" s="3" t="s">
        <v>2388</v>
      </c>
      <c r="M734" s="8" t="n">
        <v>641705</v>
      </c>
      <c r="N734" s="8" t="n">
        <v>437172</v>
      </c>
      <c r="O734" s="9" t="n">
        <v>24</v>
      </c>
      <c r="P734" s="9" t="n">
        <v>60</v>
      </c>
      <c r="R734" s="9" t="n">
        <v>1</v>
      </c>
      <c r="T734" s="10" t="n">
        <v>50.3</v>
      </c>
      <c r="U734" s="9" t="n">
        <v>4</v>
      </c>
      <c r="V734" s="3" t="s">
        <v>55</v>
      </c>
      <c r="W734" s="9" t="n">
        <v>0.75</v>
      </c>
      <c r="Z734" s="3" t="s">
        <v>1578</v>
      </c>
      <c r="AA734" s="3" t="s">
        <v>2340</v>
      </c>
      <c r="AB734" s="11" t="n">
        <v>46127</v>
      </c>
    </row>
    <row r="735" customFormat="false" ht="15" hidden="false" customHeight="false" outlineLevel="0" collapsed="false">
      <c r="A735" s="3" t="s">
        <v>2389</v>
      </c>
      <c r="B735" s="3" t="s">
        <v>48</v>
      </c>
      <c r="C735" s="3" t="s">
        <v>2390</v>
      </c>
      <c r="E735" s="3" t="s">
        <v>2391</v>
      </c>
      <c r="F735" s="3" t="s">
        <v>2336</v>
      </c>
      <c r="G735" s="3" t="s">
        <v>2337</v>
      </c>
      <c r="H735" s="3" t="s">
        <v>2338</v>
      </c>
      <c r="I735" s="3" t="s">
        <v>2392</v>
      </c>
      <c r="M735" s="8" t="n">
        <v>424495</v>
      </c>
      <c r="N735" s="8" t="n">
        <v>140239</v>
      </c>
      <c r="O735" s="9" t="n">
        <v>28.5</v>
      </c>
      <c r="P735" s="9" t="n">
        <v>38</v>
      </c>
      <c r="R735" s="9" t="n">
        <v>2</v>
      </c>
      <c r="T735" s="10" t="n">
        <v>84.9</v>
      </c>
      <c r="U735" s="9" t="n">
        <v>1</v>
      </c>
      <c r="V735" s="3" t="s">
        <v>62</v>
      </c>
      <c r="W735" s="9" t="n">
        <v>0.75</v>
      </c>
      <c r="Z735" s="3" t="s">
        <v>1578</v>
      </c>
      <c r="AA735" s="3" t="s">
        <v>2340</v>
      </c>
      <c r="AB735" s="11" t="n">
        <v>46127</v>
      </c>
    </row>
    <row r="736" customFormat="false" ht="15" hidden="false" customHeight="false" outlineLevel="0" collapsed="false">
      <c r="A736" s="3" t="s">
        <v>2393</v>
      </c>
      <c r="B736" s="3" t="s">
        <v>48</v>
      </c>
      <c r="C736" s="3" t="s">
        <v>2394</v>
      </c>
      <c r="E736" s="3" t="s">
        <v>2395</v>
      </c>
      <c r="F736" s="3" t="s">
        <v>2336</v>
      </c>
      <c r="G736" s="3" t="s">
        <v>2337</v>
      </c>
      <c r="H736" s="3" t="s">
        <v>2338</v>
      </c>
      <c r="I736" s="3" t="s">
        <v>2396</v>
      </c>
      <c r="M736" s="8" t="n">
        <v>243206</v>
      </c>
      <c r="N736" s="8" t="n">
        <v>463677</v>
      </c>
      <c r="O736" s="9" t="n">
        <v>26.2</v>
      </c>
      <c r="P736" s="9" t="n">
        <v>43</v>
      </c>
      <c r="R736" s="9" t="n">
        <v>1</v>
      </c>
      <c r="T736" s="10" t="n">
        <v>36.3</v>
      </c>
      <c r="U736" s="9" t="n">
        <v>5</v>
      </c>
      <c r="V736" s="3" t="s">
        <v>55</v>
      </c>
      <c r="W736" s="9" t="n">
        <v>0.75</v>
      </c>
      <c r="Z736" s="3" t="s">
        <v>1578</v>
      </c>
      <c r="AA736" s="3" t="s">
        <v>2340</v>
      </c>
      <c r="AB736" s="11" t="n">
        <v>46127</v>
      </c>
    </row>
    <row r="737" customFormat="false" ht="15" hidden="false" customHeight="false" outlineLevel="0" collapsed="false">
      <c r="A737" s="3" t="s">
        <v>2397</v>
      </c>
      <c r="B737" s="3" t="s">
        <v>48</v>
      </c>
      <c r="C737" s="3" t="s">
        <v>2398</v>
      </c>
      <c r="E737" s="3" t="s">
        <v>2399</v>
      </c>
      <c r="F737" s="3" t="s">
        <v>2336</v>
      </c>
      <c r="G737" s="3" t="s">
        <v>2337</v>
      </c>
      <c r="H737" s="3" t="s">
        <v>2338</v>
      </c>
      <c r="I737" s="3" t="s">
        <v>2400</v>
      </c>
      <c r="M737" s="8" t="n">
        <v>301310</v>
      </c>
      <c r="N737" s="8" t="n">
        <v>267614</v>
      </c>
      <c r="O737" s="9" t="n">
        <v>7.7</v>
      </c>
      <c r="P737" s="9" t="n">
        <v>67</v>
      </c>
      <c r="R737" s="9" t="n">
        <v>1</v>
      </c>
      <c r="T737" s="10" t="n">
        <v>36.8</v>
      </c>
      <c r="U737" s="9" t="n">
        <v>1</v>
      </c>
      <c r="V737" s="3" t="s">
        <v>92</v>
      </c>
      <c r="W737" s="9" t="n">
        <v>0.75</v>
      </c>
      <c r="Z737" s="3" t="s">
        <v>1578</v>
      </c>
      <c r="AA737" s="3" t="s">
        <v>2340</v>
      </c>
      <c r="AB737" s="11" t="n">
        <v>46127</v>
      </c>
    </row>
    <row r="738" customFormat="false" ht="15" hidden="false" customHeight="false" outlineLevel="0" collapsed="false">
      <c r="A738" s="3" t="s">
        <v>2401</v>
      </c>
      <c r="B738" s="3" t="s">
        <v>48</v>
      </c>
      <c r="C738" s="3" t="s">
        <v>2402</v>
      </c>
      <c r="E738" s="3" t="s">
        <v>1923</v>
      </c>
      <c r="F738" s="3" t="s">
        <v>2336</v>
      </c>
      <c r="G738" s="3" t="s">
        <v>2337</v>
      </c>
      <c r="H738" s="3" t="s">
        <v>2338</v>
      </c>
      <c r="I738" s="3" t="s">
        <v>2403</v>
      </c>
      <c r="M738" s="8" t="n">
        <v>135810</v>
      </c>
      <c r="N738" s="8" t="n">
        <v>621550</v>
      </c>
      <c r="O738" s="9" t="n">
        <v>19</v>
      </c>
      <c r="P738" s="9" t="n">
        <v>60</v>
      </c>
      <c r="R738" s="9" t="n">
        <v>1</v>
      </c>
      <c r="T738" s="10" t="n">
        <v>29.1</v>
      </c>
      <c r="U738" s="9" t="n">
        <v>4</v>
      </c>
      <c r="V738" s="3" t="s">
        <v>62</v>
      </c>
      <c r="W738" s="9" t="n">
        <v>0.75</v>
      </c>
      <c r="Z738" s="3" t="s">
        <v>1578</v>
      </c>
      <c r="AA738" s="3" t="s">
        <v>2340</v>
      </c>
      <c r="AB738" s="11" t="n">
        <v>46127</v>
      </c>
    </row>
    <row r="739" customFormat="false" ht="15" hidden="false" customHeight="false" outlineLevel="0" collapsed="false">
      <c r="A739" s="3" t="s">
        <v>2404</v>
      </c>
      <c r="B739" s="3" t="s">
        <v>48</v>
      </c>
      <c r="C739" s="3" t="s">
        <v>2405</v>
      </c>
      <c r="E739" s="3" t="s">
        <v>2406</v>
      </c>
      <c r="F739" s="3" t="s">
        <v>2336</v>
      </c>
      <c r="G739" s="3" t="s">
        <v>2337</v>
      </c>
      <c r="H739" s="3" t="s">
        <v>2338</v>
      </c>
      <c r="I739" s="3" t="s">
        <v>2407</v>
      </c>
      <c r="M739" s="8" t="n">
        <v>441072</v>
      </c>
      <c r="N739" s="8" t="n">
        <v>228140</v>
      </c>
      <c r="O739" s="9" t="n">
        <v>11.1</v>
      </c>
      <c r="P739" s="9" t="n">
        <v>66</v>
      </c>
      <c r="R739" s="9" t="n">
        <v>1</v>
      </c>
      <c r="T739" s="10" t="n">
        <v>76.1</v>
      </c>
      <c r="U739" s="9" t="n">
        <v>5</v>
      </c>
      <c r="V739" s="3" t="s">
        <v>83</v>
      </c>
      <c r="W739" s="9" t="n">
        <v>0.75</v>
      </c>
      <c r="Z739" s="3" t="s">
        <v>1578</v>
      </c>
      <c r="AA739" s="3" t="s">
        <v>2340</v>
      </c>
      <c r="AB739" s="11" t="n">
        <v>46127</v>
      </c>
    </row>
    <row r="740" customFormat="false" ht="15" hidden="false" customHeight="false" outlineLevel="0" collapsed="false">
      <c r="A740" s="3" t="s">
        <v>2408</v>
      </c>
      <c r="B740" s="3" t="s">
        <v>48</v>
      </c>
      <c r="C740" s="3" t="s">
        <v>2409</v>
      </c>
      <c r="E740" s="3" t="s">
        <v>2410</v>
      </c>
      <c r="F740" s="3" t="s">
        <v>2336</v>
      </c>
      <c r="G740" s="3" t="s">
        <v>2337</v>
      </c>
      <c r="H740" s="3" t="s">
        <v>2338</v>
      </c>
      <c r="I740" s="3" t="s">
        <v>2411</v>
      </c>
      <c r="M740" s="8" t="n">
        <v>1700476</v>
      </c>
      <c r="N740" s="8" t="n">
        <v>459680</v>
      </c>
      <c r="O740" s="9" t="n">
        <v>2</v>
      </c>
      <c r="P740" s="9" t="n">
        <v>65</v>
      </c>
      <c r="R740" s="9" t="n">
        <v>1</v>
      </c>
      <c r="T740" s="10" t="n">
        <v>35.2</v>
      </c>
      <c r="U740" s="9" t="n">
        <v>1</v>
      </c>
      <c r="V740" s="3" t="s">
        <v>55</v>
      </c>
      <c r="W740" s="9" t="n">
        <v>0.75</v>
      </c>
      <c r="Z740" s="3" t="s">
        <v>1578</v>
      </c>
      <c r="AA740" s="3" t="s">
        <v>2340</v>
      </c>
      <c r="AB740" s="11" t="n">
        <v>46127</v>
      </c>
    </row>
    <row r="741" customFormat="false" ht="15" hidden="false" customHeight="false" outlineLevel="0" collapsed="false">
      <c r="A741" s="3" t="s">
        <v>2412</v>
      </c>
      <c r="B741" s="3" t="s">
        <v>48</v>
      </c>
      <c r="C741" s="3" t="s">
        <v>2413</v>
      </c>
      <c r="E741" s="3" t="s">
        <v>2414</v>
      </c>
      <c r="F741" s="3" t="s">
        <v>2336</v>
      </c>
      <c r="G741" s="3" t="s">
        <v>2337</v>
      </c>
      <c r="H741" s="3" t="s">
        <v>2338</v>
      </c>
      <c r="I741" s="3" t="s">
        <v>2415</v>
      </c>
      <c r="M741" s="8" t="n">
        <v>547786</v>
      </c>
      <c r="N741" s="8" t="n">
        <v>129528</v>
      </c>
      <c r="O741" s="9" t="n">
        <v>15</v>
      </c>
      <c r="P741" s="9" t="n">
        <v>63</v>
      </c>
      <c r="R741" s="9" t="n">
        <v>2</v>
      </c>
      <c r="T741" s="10" t="n">
        <v>45.1</v>
      </c>
      <c r="U741" s="9" t="n">
        <v>6</v>
      </c>
      <c r="V741" s="3" t="s">
        <v>55</v>
      </c>
      <c r="W741" s="9" t="n">
        <v>0.75</v>
      </c>
      <c r="Z741" s="3" t="s">
        <v>1578</v>
      </c>
      <c r="AA741" s="3" t="s">
        <v>2340</v>
      </c>
      <c r="AB741" s="11" t="n">
        <v>46127</v>
      </c>
    </row>
    <row r="742" customFormat="false" ht="15" hidden="false" customHeight="false" outlineLevel="0" collapsed="false">
      <c r="A742" s="3" t="s">
        <v>2416</v>
      </c>
      <c r="B742" s="3" t="s">
        <v>48</v>
      </c>
      <c r="C742" s="3" t="s">
        <v>2417</v>
      </c>
      <c r="E742" s="3" t="s">
        <v>2418</v>
      </c>
      <c r="F742" s="3" t="s">
        <v>2336</v>
      </c>
      <c r="G742" s="3" t="s">
        <v>2337</v>
      </c>
      <c r="H742" s="3" t="s">
        <v>2338</v>
      </c>
      <c r="I742" s="3" t="s">
        <v>2419</v>
      </c>
      <c r="M742" s="8" t="n">
        <v>258792</v>
      </c>
      <c r="N742" s="8" t="n">
        <v>133563</v>
      </c>
      <c r="O742" s="9" t="n">
        <v>24.3</v>
      </c>
      <c r="P742" s="9" t="n">
        <v>54</v>
      </c>
      <c r="R742" s="9" t="n">
        <v>2</v>
      </c>
      <c r="T742" s="10" t="n">
        <v>62.1</v>
      </c>
      <c r="U742" s="9" t="n">
        <v>9</v>
      </c>
      <c r="V742" s="3" t="s">
        <v>62</v>
      </c>
      <c r="W742" s="9" t="n">
        <v>0.75</v>
      </c>
      <c r="Z742" s="3" t="s">
        <v>1578</v>
      </c>
      <c r="AA742" s="3" t="s">
        <v>2340</v>
      </c>
      <c r="AB742" s="11" t="n">
        <v>46127</v>
      </c>
    </row>
    <row r="743" customFormat="false" ht="15" hidden="false" customHeight="false" outlineLevel="0" collapsed="false">
      <c r="A743" s="3" t="s">
        <v>2420</v>
      </c>
      <c r="B743" s="3" t="s">
        <v>48</v>
      </c>
      <c r="C743" s="3" t="s">
        <v>2421</v>
      </c>
      <c r="E743" s="3" t="s">
        <v>2278</v>
      </c>
      <c r="F743" s="3" t="s">
        <v>2336</v>
      </c>
      <c r="G743" s="3" t="s">
        <v>2337</v>
      </c>
      <c r="H743" s="3" t="s">
        <v>2338</v>
      </c>
      <c r="I743" s="3" t="s">
        <v>2422</v>
      </c>
      <c r="M743" s="8" t="n">
        <v>572741</v>
      </c>
      <c r="N743" s="8" t="n">
        <v>263425</v>
      </c>
      <c r="O743" s="9" t="n">
        <v>4.7</v>
      </c>
      <c r="P743" s="9" t="n">
        <v>46</v>
      </c>
      <c r="R743" s="9" t="n">
        <v>1</v>
      </c>
      <c r="T743" s="10" t="n">
        <v>28.1</v>
      </c>
      <c r="U743" s="9" t="n">
        <v>6</v>
      </c>
      <c r="V743" s="3" t="s">
        <v>83</v>
      </c>
      <c r="W743" s="9" t="n">
        <v>0.75</v>
      </c>
      <c r="Z743" s="3" t="s">
        <v>1578</v>
      </c>
      <c r="AA743" s="3" t="s">
        <v>2340</v>
      </c>
      <c r="AB743" s="11" t="n">
        <v>46127</v>
      </c>
    </row>
    <row r="744" customFormat="false" ht="15" hidden="false" customHeight="false" outlineLevel="0" collapsed="false">
      <c r="A744" s="3" t="s">
        <v>2423</v>
      </c>
      <c r="B744" s="3" t="s">
        <v>48</v>
      </c>
      <c r="C744" s="3" t="s">
        <v>2424</v>
      </c>
      <c r="E744" s="3" t="s">
        <v>2425</v>
      </c>
      <c r="F744" s="3" t="s">
        <v>2336</v>
      </c>
      <c r="G744" s="3" t="s">
        <v>2337</v>
      </c>
      <c r="H744" s="3" t="s">
        <v>2338</v>
      </c>
      <c r="I744" s="3" t="s">
        <v>2426</v>
      </c>
      <c r="M744" s="8" t="n">
        <v>252328</v>
      </c>
      <c r="N744" s="8" t="n">
        <v>211860</v>
      </c>
      <c r="O744" s="9" t="n">
        <v>6.1</v>
      </c>
      <c r="P744" s="9" t="n">
        <v>74</v>
      </c>
      <c r="R744" s="9" t="n">
        <v>1</v>
      </c>
      <c r="T744" s="10" t="n">
        <v>43.6</v>
      </c>
      <c r="U744" s="9" t="n">
        <v>5</v>
      </c>
      <c r="V744" s="3" t="s">
        <v>83</v>
      </c>
      <c r="W744" s="9" t="n">
        <v>0.75</v>
      </c>
      <c r="Z744" s="3" t="s">
        <v>1578</v>
      </c>
      <c r="AA744" s="3" t="s">
        <v>2340</v>
      </c>
      <c r="AB744" s="11" t="n">
        <v>46127</v>
      </c>
    </row>
    <row r="745" customFormat="false" ht="15" hidden="false" customHeight="false" outlineLevel="0" collapsed="false">
      <c r="A745" s="3" t="s">
        <v>2427</v>
      </c>
      <c r="B745" s="3" t="s">
        <v>48</v>
      </c>
      <c r="C745" s="3" t="s">
        <v>2428</v>
      </c>
      <c r="E745" s="3" t="s">
        <v>2429</v>
      </c>
      <c r="F745" s="3" t="s">
        <v>2336</v>
      </c>
      <c r="G745" s="3" t="s">
        <v>2337</v>
      </c>
      <c r="H745" s="3" t="s">
        <v>2338</v>
      </c>
      <c r="I745" s="3" t="s">
        <v>2430</v>
      </c>
      <c r="M745" s="8" t="n">
        <v>787416</v>
      </c>
      <c r="N745" s="8" t="n">
        <v>350994</v>
      </c>
      <c r="O745" s="9" t="n">
        <v>15.6</v>
      </c>
      <c r="P745" s="9" t="n">
        <v>54</v>
      </c>
      <c r="R745" s="9" t="n">
        <v>1</v>
      </c>
      <c r="T745" s="10" t="n">
        <v>80.1</v>
      </c>
      <c r="U745" s="9" t="n">
        <v>5</v>
      </c>
      <c r="V745" s="3" t="s">
        <v>83</v>
      </c>
      <c r="W745" s="9" t="n">
        <v>0.75</v>
      </c>
      <c r="Z745" s="3" t="s">
        <v>1578</v>
      </c>
      <c r="AA745" s="3" t="s">
        <v>2340</v>
      </c>
      <c r="AB745" s="11" t="n">
        <v>46127</v>
      </c>
    </row>
    <row r="746" customFormat="false" ht="15" hidden="false" customHeight="false" outlineLevel="0" collapsed="false">
      <c r="A746" s="3" t="s">
        <v>2431</v>
      </c>
      <c r="B746" s="3" t="s">
        <v>48</v>
      </c>
      <c r="C746" s="3" t="s">
        <v>2432</v>
      </c>
      <c r="E746" s="3" t="s">
        <v>2433</v>
      </c>
      <c r="F746" s="3" t="s">
        <v>2336</v>
      </c>
      <c r="G746" s="3" t="s">
        <v>2337</v>
      </c>
      <c r="H746" s="3" t="s">
        <v>2338</v>
      </c>
      <c r="I746" s="3" t="s">
        <v>2434</v>
      </c>
      <c r="M746" s="8" t="n">
        <v>252052</v>
      </c>
      <c r="N746" s="8" t="n">
        <v>293492</v>
      </c>
      <c r="O746" s="9" t="n">
        <v>14.6</v>
      </c>
      <c r="P746" s="9" t="n">
        <v>65</v>
      </c>
      <c r="R746" s="9" t="n">
        <v>1</v>
      </c>
      <c r="T746" s="10" t="n">
        <v>88.3</v>
      </c>
      <c r="U746" s="9" t="n">
        <v>3</v>
      </c>
      <c r="V746" s="3" t="s">
        <v>62</v>
      </c>
      <c r="W746" s="9" t="n">
        <v>0.75</v>
      </c>
      <c r="Z746" s="3" t="s">
        <v>1578</v>
      </c>
      <c r="AA746" s="3" t="s">
        <v>2340</v>
      </c>
      <c r="AB746" s="11" t="n">
        <v>46127</v>
      </c>
    </row>
    <row r="747" customFormat="false" ht="15" hidden="false" customHeight="false" outlineLevel="0" collapsed="false">
      <c r="A747" s="3" t="s">
        <v>2435</v>
      </c>
      <c r="B747" s="3" t="s">
        <v>48</v>
      </c>
      <c r="C747" s="3" t="s">
        <v>2436</v>
      </c>
      <c r="E747" s="3" t="s">
        <v>2437</v>
      </c>
      <c r="F747" s="3" t="s">
        <v>2336</v>
      </c>
      <c r="G747" s="3" t="s">
        <v>2337</v>
      </c>
      <c r="H747" s="3" t="s">
        <v>2338</v>
      </c>
      <c r="I747" s="3" t="s">
        <v>2438</v>
      </c>
      <c r="M747" s="8" t="n">
        <v>535495</v>
      </c>
      <c r="N747" s="8" t="n">
        <v>273712</v>
      </c>
      <c r="O747" s="9" t="n">
        <v>23.7</v>
      </c>
      <c r="P747" s="9" t="n">
        <v>71</v>
      </c>
      <c r="R747" s="9" t="n">
        <v>1</v>
      </c>
      <c r="T747" s="10" t="n">
        <v>44.8</v>
      </c>
      <c r="U747" s="9" t="n">
        <v>8</v>
      </c>
      <c r="V747" s="3" t="s">
        <v>83</v>
      </c>
      <c r="W747" s="9" t="n">
        <v>0.75</v>
      </c>
      <c r="Z747" s="3" t="s">
        <v>1578</v>
      </c>
      <c r="AA747" s="3" t="s">
        <v>2340</v>
      </c>
      <c r="AB747" s="11" t="n">
        <v>46127</v>
      </c>
    </row>
    <row r="748" customFormat="false" ht="15" hidden="false" customHeight="false" outlineLevel="0" collapsed="false">
      <c r="A748" s="3" t="s">
        <v>2439</v>
      </c>
      <c r="B748" s="3" t="s">
        <v>48</v>
      </c>
      <c r="C748" s="3" t="s">
        <v>2440</v>
      </c>
      <c r="E748" s="3" t="s">
        <v>2441</v>
      </c>
      <c r="F748" s="3" t="s">
        <v>2336</v>
      </c>
      <c r="G748" s="3" t="s">
        <v>2337</v>
      </c>
      <c r="H748" s="3" t="s">
        <v>2338</v>
      </c>
      <c r="I748" s="3" t="s">
        <v>2442</v>
      </c>
      <c r="M748" s="8" t="n">
        <v>598825</v>
      </c>
      <c r="N748" s="8" t="n">
        <v>266719</v>
      </c>
      <c r="O748" s="9" t="n">
        <v>26.8</v>
      </c>
      <c r="P748" s="9" t="n">
        <v>56</v>
      </c>
      <c r="R748" s="9" t="n">
        <v>1</v>
      </c>
      <c r="T748" s="10" t="n">
        <v>37.2</v>
      </c>
      <c r="U748" s="9" t="n">
        <v>9</v>
      </c>
      <c r="V748" s="3" t="s">
        <v>83</v>
      </c>
      <c r="W748" s="9" t="n">
        <v>0.75</v>
      </c>
      <c r="Z748" s="3" t="s">
        <v>1578</v>
      </c>
      <c r="AA748" s="3" t="s">
        <v>2340</v>
      </c>
      <c r="AB748" s="11" t="n">
        <v>46127</v>
      </c>
    </row>
    <row r="749" customFormat="false" ht="15" hidden="false" customHeight="false" outlineLevel="0" collapsed="false">
      <c r="A749" s="3" t="s">
        <v>2443</v>
      </c>
      <c r="B749" s="3" t="s">
        <v>48</v>
      </c>
      <c r="C749" s="3" t="s">
        <v>2444</v>
      </c>
      <c r="E749" s="3" t="s">
        <v>2445</v>
      </c>
      <c r="F749" s="3" t="s">
        <v>2336</v>
      </c>
      <c r="G749" s="3" t="s">
        <v>2337</v>
      </c>
      <c r="H749" s="3" t="s">
        <v>2338</v>
      </c>
      <c r="I749" s="3" t="s">
        <v>2446</v>
      </c>
      <c r="M749" s="8" t="n">
        <v>170104</v>
      </c>
      <c r="N749" s="8" t="n">
        <v>236651</v>
      </c>
      <c r="O749" s="9" t="n">
        <v>6.1</v>
      </c>
      <c r="P749" s="9" t="n">
        <v>37</v>
      </c>
      <c r="R749" s="9" t="n">
        <v>1</v>
      </c>
      <c r="T749" s="10" t="n">
        <v>68.1</v>
      </c>
      <c r="U749" s="9" t="n">
        <v>3</v>
      </c>
      <c r="V749" s="3" t="s">
        <v>55</v>
      </c>
      <c r="W749" s="9" t="n">
        <v>0.75</v>
      </c>
      <c r="Z749" s="3" t="s">
        <v>1578</v>
      </c>
      <c r="AA749" s="3" t="s">
        <v>2340</v>
      </c>
      <c r="AB749" s="11" t="n">
        <v>46127</v>
      </c>
    </row>
    <row r="750" customFormat="false" ht="15" hidden="false" customHeight="false" outlineLevel="0" collapsed="false">
      <c r="A750" s="3" t="s">
        <v>2447</v>
      </c>
      <c r="B750" s="3" t="s">
        <v>48</v>
      </c>
      <c r="C750" s="3" t="s">
        <v>2448</v>
      </c>
      <c r="E750" s="3" t="s">
        <v>2449</v>
      </c>
      <c r="F750" s="3" t="s">
        <v>2336</v>
      </c>
      <c r="G750" s="3" t="s">
        <v>2337</v>
      </c>
      <c r="H750" s="3" t="s">
        <v>2338</v>
      </c>
      <c r="I750" s="3" t="s">
        <v>2450</v>
      </c>
      <c r="M750" s="8" t="n">
        <v>663506</v>
      </c>
      <c r="N750" s="8" t="n">
        <v>163615</v>
      </c>
      <c r="O750" s="9" t="n">
        <v>22.5</v>
      </c>
      <c r="P750" s="9" t="n">
        <v>64</v>
      </c>
      <c r="R750" s="9" t="n">
        <v>1</v>
      </c>
      <c r="T750" s="10" t="n">
        <v>22.9</v>
      </c>
      <c r="U750" s="9" t="n">
        <v>7</v>
      </c>
      <c r="V750" s="3" t="s">
        <v>92</v>
      </c>
      <c r="W750" s="9" t="n">
        <v>0.75</v>
      </c>
      <c r="Z750" s="3" t="s">
        <v>1578</v>
      </c>
      <c r="AA750" s="3" t="s">
        <v>2340</v>
      </c>
      <c r="AB750" s="11" t="n">
        <v>46127</v>
      </c>
    </row>
    <row r="751" customFormat="false" ht="15" hidden="false" customHeight="false" outlineLevel="0" collapsed="false">
      <c r="A751" s="3" t="s">
        <v>2451</v>
      </c>
      <c r="B751" s="3" t="s">
        <v>48</v>
      </c>
      <c r="C751" s="3" t="s">
        <v>2452</v>
      </c>
      <c r="E751" s="3" t="s">
        <v>2453</v>
      </c>
      <c r="F751" s="3" t="s">
        <v>2336</v>
      </c>
      <c r="G751" s="3" t="s">
        <v>2337</v>
      </c>
      <c r="H751" s="3" t="s">
        <v>2338</v>
      </c>
      <c r="I751" s="3" t="s">
        <v>2454</v>
      </c>
      <c r="M751" s="8" t="n">
        <v>432587</v>
      </c>
      <c r="N751" s="8" t="n">
        <v>294056</v>
      </c>
      <c r="O751" s="9" t="n">
        <v>12.1</v>
      </c>
      <c r="P751" s="9" t="n">
        <v>35</v>
      </c>
      <c r="R751" s="9" t="n">
        <v>1</v>
      </c>
      <c r="T751" s="10" t="n">
        <v>48.2</v>
      </c>
      <c r="U751" s="9" t="n">
        <v>4</v>
      </c>
      <c r="V751" s="3" t="s">
        <v>62</v>
      </c>
      <c r="W751" s="9" t="n">
        <v>0.75</v>
      </c>
      <c r="Z751" s="3" t="s">
        <v>1578</v>
      </c>
      <c r="AA751" s="3" t="s">
        <v>2340</v>
      </c>
      <c r="AB751" s="11" t="n">
        <v>46127</v>
      </c>
    </row>
    <row r="752" customFormat="false" ht="15" hidden="false" customHeight="false" outlineLevel="0" collapsed="false">
      <c r="A752" s="3" t="s">
        <v>2455</v>
      </c>
      <c r="B752" s="3" t="s">
        <v>48</v>
      </c>
      <c r="C752" s="3" t="s">
        <v>2456</v>
      </c>
      <c r="E752" s="3" t="s">
        <v>2457</v>
      </c>
      <c r="F752" s="3" t="s">
        <v>2336</v>
      </c>
      <c r="G752" s="3" t="s">
        <v>2337</v>
      </c>
      <c r="H752" s="3" t="s">
        <v>2338</v>
      </c>
      <c r="I752" s="3" t="s">
        <v>2458</v>
      </c>
      <c r="M752" s="8" t="n">
        <v>428261</v>
      </c>
      <c r="N752" s="8" t="n">
        <v>254657</v>
      </c>
      <c r="O752" s="9" t="n">
        <v>1.5</v>
      </c>
      <c r="P752" s="9" t="n">
        <v>36</v>
      </c>
      <c r="R752" s="9" t="n">
        <v>1</v>
      </c>
      <c r="T752" s="10" t="n">
        <v>27.7</v>
      </c>
      <c r="U752" s="9" t="n">
        <v>1</v>
      </c>
      <c r="V752" s="3" t="s">
        <v>55</v>
      </c>
      <c r="W752" s="9" t="n">
        <v>0.75</v>
      </c>
      <c r="Z752" s="3" t="s">
        <v>1578</v>
      </c>
      <c r="AA752" s="3" t="s">
        <v>2340</v>
      </c>
      <c r="AB752" s="11" t="n">
        <v>46127</v>
      </c>
    </row>
    <row r="753" customFormat="false" ht="15" hidden="false" customHeight="false" outlineLevel="0" collapsed="false">
      <c r="A753" s="3" t="s">
        <v>2459</v>
      </c>
      <c r="B753" s="3" t="s">
        <v>48</v>
      </c>
      <c r="C753" s="3" t="s">
        <v>2460</v>
      </c>
      <c r="E753" s="3" t="s">
        <v>2461</v>
      </c>
      <c r="F753" s="3" t="s">
        <v>2336</v>
      </c>
      <c r="G753" s="3" t="s">
        <v>2337</v>
      </c>
      <c r="H753" s="3" t="s">
        <v>2338</v>
      </c>
      <c r="I753" s="3" t="s">
        <v>2462</v>
      </c>
      <c r="M753" s="8" t="n">
        <v>379062</v>
      </c>
      <c r="N753" s="8" t="n">
        <v>70215</v>
      </c>
      <c r="O753" s="9" t="n">
        <v>15.5</v>
      </c>
      <c r="P753" s="9" t="n">
        <v>44</v>
      </c>
      <c r="R753" s="9" t="n">
        <v>1</v>
      </c>
      <c r="T753" s="10" t="n">
        <v>38.8</v>
      </c>
      <c r="U753" s="9" t="n">
        <v>8</v>
      </c>
      <c r="V753" s="3" t="s">
        <v>55</v>
      </c>
      <c r="W753" s="9" t="n">
        <v>0.75</v>
      </c>
      <c r="Z753" s="3" t="s">
        <v>1578</v>
      </c>
      <c r="AA753" s="3" t="s">
        <v>2340</v>
      </c>
      <c r="AB753" s="11" t="n">
        <v>46127</v>
      </c>
    </row>
    <row r="754" customFormat="false" ht="15" hidden="false" customHeight="false" outlineLevel="0" collapsed="false">
      <c r="A754" s="3" t="s">
        <v>2463</v>
      </c>
      <c r="B754" s="3" t="s">
        <v>48</v>
      </c>
      <c r="C754" s="3" t="s">
        <v>2464</v>
      </c>
      <c r="E754" s="3" t="s">
        <v>2465</v>
      </c>
      <c r="F754" s="3" t="s">
        <v>2336</v>
      </c>
      <c r="G754" s="3" t="s">
        <v>2337</v>
      </c>
      <c r="H754" s="3" t="s">
        <v>2338</v>
      </c>
      <c r="I754" s="3" t="s">
        <v>2466</v>
      </c>
      <c r="M754" s="8" t="n">
        <v>164937</v>
      </c>
      <c r="N754" s="8" t="n">
        <v>372955</v>
      </c>
      <c r="O754" s="9" t="n">
        <v>17.9</v>
      </c>
      <c r="P754" s="9" t="n">
        <v>35</v>
      </c>
      <c r="R754" s="9" t="n">
        <v>1</v>
      </c>
      <c r="T754" s="10" t="n">
        <v>29.4</v>
      </c>
      <c r="U754" s="9" t="n">
        <v>6</v>
      </c>
      <c r="V754" s="3" t="s">
        <v>62</v>
      </c>
      <c r="W754" s="9" t="n">
        <v>0.75</v>
      </c>
      <c r="Z754" s="3" t="s">
        <v>1578</v>
      </c>
      <c r="AA754" s="3" t="s">
        <v>2340</v>
      </c>
      <c r="AB754" s="11" t="n">
        <v>46127</v>
      </c>
    </row>
    <row r="755" customFormat="false" ht="15" hidden="false" customHeight="false" outlineLevel="0" collapsed="false">
      <c r="A755" s="3" t="s">
        <v>2467</v>
      </c>
      <c r="B755" s="3" t="s">
        <v>48</v>
      </c>
      <c r="C755" s="3" t="s">
        <v>2468</v>
      </c>
      <c r="E755" s="3" t="s">
        <v>295</v>
      </c>
      <c r="F755" s="3" t="s">
        <v>2336</v>
      </c>
      <c r="G755" s="3" t="s">
        <v>2337</v>
      </c>
      <c r="H755" s="3" t="s">
        <v>2338</v>
      </c>
      <c r="I755" s="3" t="s">
        <v>2469</v>
      </c>
      <c r="M755" s="8" t="n">
        <v>190052</v>
      </c>
      <c r="N755" s="8" t="n">
        <v>357060</v>
      </c>
      <c r="O755" s="9" t="n">
        <v>7.8</v>
      </c>
      <c r="P755" s="9" t="n">
        <v>44</v>
      </c>
      <c r="R755" s="9" t="n">
        <v>1</v>
      </c>
      <c r="T755" s="10" t="n">
        <v>33.3</v>
      </c>
      <c r="U755" s="9" t="n">
        <v>4</v>
      </c>
      <c r="V755" s="3" t="s">
        <v>92</v>
      </c>
      <c r="W755" s="9" t="n">
        <v>0.75</v>
      </c>
      <c r="Z755" s="3" t="s">
        <v>1578</v>
      </c>
      <c r="AA755" s="3" t="s">
        <v>2340</v>
      </c>
      <c r="AB755" s="11" t="n">
        <v>46127</v>
      </c>
    </row>
    <row r="756" customFormat="false" ht="15" hidden="false" customHeight="false" outlineLevel="0" collapsed="false">
      <c r="A756" s="3" t="s">
        <v>2470</v>
      </c>
      <c r="B756" s="3" t="s">
        <v>48</v>
      </c>
      <c r="C756" s="3" t="s">
        <v>2471</v>
      </c>
      <c r="E756" s="3" t="s">
        <v>2472</v>
      </c>
      <c r="F756" s="3" t="s">
        <v>2336</v>
      </c>
      <c r="G756" s="3" t="s">
        <v>2337</v>
      </c>
      <c r="H756" s="3" t="s">
        <v>2338</v>
      </c>
      <c r="I756" s="3" t="s">
        <v>2473</v>
      </c>
      <c r="M756" s="8" t="n">
        <v>177358</v>
      </c>
      <c r="N756" s="8" t="n">
        <v>115676</v>
      </c>
      <c r="O756" s="9" t="n">
        <v>26.3</v>
      </c>
      <c r="P756" s="9" t="n">
        <v>67</v>
      </c>
      <c r="R756" s="9" t="n">
        <v>1</v>
      </c>
      <c r="T756" s="10" t="n">
        <v>72.7</v>
      </c>
      <c r="U756" s="9" t="n">
        <v>10</v>
      </c>
      <c r="V756" s="3" t="s">
        <v>55</v>
      </c>
      <c r="W756" s="9" t="n">
        <v>0.75</v>
      </c>
      <c r="Z756" s="3" t="s">
        <v>1578</v>
      </c>
      <c r="AA756" s="3" t="s">
        <v>2340</v>
      </c>
      <c r="AB756" s="11" t="n">
        <v>46127</v>
      </c>
    </row>
    <row r="757" customFormat="false" ht="15" hidden="false" customHeight="false" outlineLevel="0" collapsed="false">
      <c r="A757" s="3" t="s">
        <v>2474</v>
      </c>
      <c r="B757" s="3" t="s">
        <v>48</v>
      </c>
      <c r="C757" s="3" t="s">
        <v>2475</v>
      </c>
      <c r="E757" s="3" t="s">
        <v>2476</v>
      </c>
      <c r="F757" s="3" t="s">
        <v>2336</v>
      </c>
      <c r="G757" s="3" t="s">
        <v>2337</v>
      </c>
      <c r="H757" s="3" t="s">
        <v>2338</v>
      </c>
      <c r="I757" s="3" t="s">
        <v>2477</v>
      </c>
      <c r="M757" s="8" t="n">
        <v>434501</v>
      </c>
      <c r="N757" s="8" t="n">
        <v>785612</v>
      </c>
      <c r="O757" s="9" t="n">
        <v>9.3</v>
      </c>
      <c r="P757" s="9" t="n">
        <v>62</v>
      </c>
      <c r="R757" s="9" t="n">
        <v>1</v>
      </c>
      <c r="T757" s="10" t="n">
        <v>25.6</v>
      </c>
      <c r="U757" s="9" t="n">
        <v>7</v>
      </c>
      <c r="V757" s="3" t="s">
        <v>55</v>
      </c>
      <c r="W757" s="9" t="n">
        <v>0.75</v>
      </c>
      <c r="Z757" s="3" t="s">
        <v>1578</v>
      </c>
      <c r="AA757" s="3" t="s">
        <v>2340</v>
      </c>
      <c r="AB757" s="11" t="n">
        <v>46127</v>
      </c>
    </row>
    <row r="758" customFormat="false" ht="15" hidden="false" customHeight="false" outlineLevel="0" collapsed="false">
      <c r="A758" s="3" t="s">
        <v>2478</v>
      </c>
      <c r="B758" s="3" t="s">
        <v>48</v>
      </c>
      <c r="C758" s="3" t="s">
        <v>2479</v>
      </c>
      <c r="E758" s="3" t="s">
        <v>2480</v>
      </c>
      <c r="F758" s="3" t="s">
        <v>2336</v>
      </c>
      <c r="G758" s="3" t="s">
        <v>2337</v>
      </c>
      <c r="H758" s="3" t="s">
        <v>2338</v>
      </c>
      <c r="I758" s="3" t="s">
        <v>2481</v>
      </c>
      <c r="M758" s="8" t="n">
        <v>170383</v>
      </c>
      <c r="N758" s="8" t="n">
        <v>302695</v>
      </c>
      <c r="O758" s="9" t="n">
        <v>27.1</v>
      </c>
      <c r="P758" s="9" t="n">
        <v>46</v>
      </c>
      <c r="R758" s="9" t="n">
        <v>1</v>
      </c>
      <c r="T758" s="10" t="n">
        <v>23.3</v>
      </c>
      <c r="U758" s="9" t="n">
        <v>2</v>
      </c>
      <c r="V758" s="3" t="s">
        <v>92</v>
      </c>
      <c r="W758" s="9" t="n">
        <v>0.75</v>
      </c>
      <c r="Z758" s="3" t="s">
        <v>1578</v>
      </c>
      <c r="AA758" s="3" t="s">
        <v>2340</v>
      </c>
      <c r="AB758" s="11" t="n">
        <v>46127</v>
      </c>
    </row>
    <row r="759" customFormat="false" ht="15" hidden="false" customHeight="false" outlineLevel="0" collapsed="false">
      <c r="A759" s="3" t="s">
        <v>2482</v>
      </c>
      <c r="B759" s="3" t="s">
        <v>48</v>
      </c>
      <c r="C759" s="3" t="s">
        <v>2483</v>
      </c>
      <c r="E759" s="3" t="s">
        <v>2484</v>
      </c>
      <c r="F759" s="3" t="s">
        <v>2336</v>
      </c>
      <c r="G759" s="3" t="s">
        <v>2337</v>
      </c>
      <c r="H759" s="3" t="s">
        <v>2338</v>
      </c>
      <c r="I759" s="3" t="s">
        <v>2485</v>
      </c>
      <c r="M759" s="8" t="n">
        <v>484774</v>
      </c>
      <c r="N759" s="8" t="n">
        <v>205926</v>
      </c>
      <c r="O759" s="9" t="n">
        <v>3.7</v>
      </c>
      <c r="P759" s="9" t="n">
        <v>64</v>
      </c>
      <c r="R759" s="9" t="n">
        <v>1</v>
      </c>
      <c r="T759" s="10" t="n">
        <v>39.3</v>
      </c>
      <c r="U759" s="9" t="n">
        <v>9</v>
      </c>
      <c r="V759" s="3" t="s">
        <v>83</v>
      </c>
      <c r="W759" s="9" t="n">
        <v>0.75</v>
      </c>
      <c r="Z759" s="3" t="s">
        <v>1578</v>
      </c>
      <c r="AA759" s="3" t="s">
        <v>2340</v>
      </c>
      <c r="AB759" s="11" t="n">
        <v>46127</v>
      </c>
    </row>
    <row r="760" customFormat="false" ht="15" hidden="false" customHeight="false" outlineLevel="0" collapsed="false">
      <c r="A760" s="3" t="s">
        <v>2486</v>
      </c>
      <c r="B760" s="3" t="s">
        <v>48</v>
      </c>
      <c r="C760" s="3" t="s">
        <v>2487</v>
      </c>
      <c r="E760" s="3" t="s">
        <v>2488</v>
      </c>
      <c r="F760" s="3" t="s">
        <v>2336</v>
      </c>
      <c r="G760" s="3" t="s">
        <v>2337</v>
      </c>
      <c r="H760" s="3" t="s">
        <v>2338</v>
      </c>
      <c r="I760" s="3" t="s">
        <v>2489</v>
      </c>
      <c r="M760" s="8" t="n">
        <v>308516</v>
      </c>
      <c r="N760" s="8" t="n">
        <v>748219</v>
      </c>
      <c r="O760" s="9" t="n">
        <v>3</v>
      </c>
      <c r="P760" s="9" t="n">
        <v>35</v>
      </c>
      <c r="R760" s="9" t="n">
        <v>1</v>
      </c>
      <c r="T760" s="10" t="n">
        <v>71.6</v>
      </c>
      <c r="U760" s="9" t="n">
        <v>2</v>
      </c>
      <c r="V760" s="3" t="s">
        <v>55</v>
      </c>
      <c r="W760" s="9" t="n">
        <v>0.75</v>
      </c>
      <c r="Z760" s="3" t="s">
        <v>1578</v>
      </c>
      <c r="AA760" s="3" t="s">
        <v>2340</v>
      </c>
      <c r="AB760" s="11" t="n">
        <v>46127</v>
      </c>
    </row>
    <row r="761" customFormat="false" ht="15" hidden="false" customHeight="false" outlineLevel="0" collapsed="false">
      <c r="A761" s="3" t="s">
        <v>2490</v>
      </c>
      <c r="B761" s="3" t="s">
        <v>48</v>
      </c>
      <c r="C761" s="3" t="s">
        <v>2491</v>
      </c>
      <c r="E761" s="3" t="s">
        <v>2492</v>
      </c>
      <c r="F761" s="3" t="s">
        <v>2336</v>
      </c>
      <c r="G761" s="3" t="s">
        <v>2337</v>
      </c>
      <c r="H761" s="3" t="s">
        <v>2338</v>
      </c>
      <c r="I761" s="3" t="s">
        <v>2493</v>
      </c>
      <c r="M761" s="8" t="n">
        <v>1117216</v>
      </c>
      <c r="N761" s="8" t="n">
        <v>191848</v>
      </c>
      <c r="O761" s="9" t="n">
        <v>15.8</v>
      </c>
      <c r="P761" s="9" t="n">
        <v>40</v>
      </c>
      <c r="R761" s="9" t="n">
        <v>1</v>
      </c>
      <c r="T761" s="10" t="n">
        <v>41.4</v>
      </c>
      <c r="U761" s="9" t="n">
        <v>8</v>
      </c>
      <c r="V761" s="3" t="s">
        <v>62</v>
      </c>
      <c r="W761" s="9" t="n">
        <v>0.75</v>
      </c>
      <c r="Z761" s="3" t="s">
        <v>1578</v>
      </c>
      <c r="AA761" s="3" t="s">
        <v>2340</v>
      </c>
      <c r="AB761" s="11" t="n">
        <v>46127</v>
      </c>
    </row>
    <row r="762" customFormat="false" ht="15" hidden="false" customHeight="false" outlineLevel="0" collapsed="false">
      <c r="A762" s="3" t="s">
        <v>2494</v>
      </c>
      <c r="B762" s="3" t="s">
        <v>48</v>
      </c>
      <c r="C762" s="3" t="s">
        <v>2495</v>
      </c>
      <c r="E762" s="3" t="s">
        <v>2496</v>
      </c>
      <c r="F762" s="3" t="s">
        <v>2336</v>
      </c>
      <c r="G762" s="3" t="s">
        <v>2337</v>
      </c>
      <c r="H762" s="3" t="s">
        <v>2338</v>
      </c>
      <c r="I762" s="3" t="s">
        <v>2497</v>
      </c>
      <c r="M762" s="8" t="n">
        <v>495708</v>
      </c>
      <c r="N762" s="8" t="n">
        <v>105957</v>
      </c>
      <c r="O762" s="9" t="n">
        <v>18.3</v>
      </c>
      <c r="P762" s="9" t="n">
        <v>44</v>
      </c>
      <c r="R762" s="9" t="n">
        <v>1</v>
      </c>
      <c r="T762" s="10" t="n">
        <v>18</v>
      </c>
      <c r="U762" s="9" t="n">
        <v>4</v>
      </c>
      <c r="V762" s="3" t="s">
        <v>92</v>
      </c>
      <c r="W762" s="9" t="n">
        <v>0.75</v>
      </c>
      <c r="Z762" s="3" t="s">
        <v>1578</v>
      </c>
      <c r="AA762" s="3" t="s">
        <v>2340</v>
      </c>
      <c r="AB762" s="11" t="n">
        <v>46127</v>
      </c>
    </row>
    <row r="763" customFormat="false" ht="15" hidden="false" customHeight="false" outlineLevel="0" collapsed="false">
      <c r="A763" s="3" t="s">
        <v>2498</v>
      </c>
      <c r="B763" s="3" t="s">
        <v>48</v>
      </c>
      <c r="C763" s="3" t="s">
        <v>2499</v>
      </c>
      <c r="E763" s="3" t="s">
        <v>2500</v>
      </c>
      <c r="F763" s="3" t="s">
        <v>2336</v>
      </c>
      <c r="G763" s="3" t="s">
        <v>2337</v>
      </c>
      <c r="H763" s="3" t="s">
        <v>2338</v>
      </c>
      <c r="I763" s="3" t="s">
        <v>2501</v>
      </c>
      <c r="M763" s="8" t="n">
        <v>477525</v>
      </c>
      <c r="N763" s="8" t="n">
        <v>213956</v>
      </c>
      <c r="O763" s="9" t="n">
        <v>3.9</v>
      </c>
      <c r="P763" s="9" t="n">
        <v>46</v>
      </c>
      <c r="R763" s="9" t="n">
        <v>1</v>
      </c>
      <c r="T763" s="10" t="n">
        <v>40.4</v>
      </c>
      <c r="U763" s="9" t="n">
        <v>9</v>
      </c>
      <c r="V763" s="3" t="s">
        <v>83</v>
      </c>
      <c r="W763" s="9" t="n">
        <v>0.75</v>
      </c>
      <c r="Z763" s="3" t="s">
        <v>1578</v>
      </c>
      <c r="AA763" s="3" t="s">
        <v>2340</v>
      </c>
      <c r="AB763" s="11" t="n">
        <v>46127</v>
      </c>
    </row>
    <row r="764" customFormat="false" ht="15" hidden="false" customHeight="false" outlineLevel="0" collapsed="false">
      <c r="A764" s="3" t="s">
        <v>2502</v>
      </c>
      <c r="B764" s="3" t="s">
        <v>48</v>
      </c>
      <c r="C764" s="3" t="s">
        <v>2503</v>
      </c>
      <c r="E764" s="3" t="s">
        <v>2504</v>
      </c>
      <c r="F764" s="3" t="s">
        <v>2336</v>
      </c>
      <c r="G764" s="3" t="s">
        <v>2337</v>
      </c>
      <c r="H764" s="3" t="s">
        <v>2338</v>
      </c>
      <c r="I764" s="3" t="s">
        <v>2505</v>
      </c>
      <c r="M764" s="8" t="n">
        <v>244303</v>
      </c>
      <c r="N764" s="8" t="n">
        <v>77117</v>
      </c>
      <c r="O764" s="9" t="n">
        <v>13.9</v>
      </c>
      <c r="P764" s="9" t="n">
        <v>37</v>
      </c>
      <c r="R764" s="9" t="n">
        <v>1</v>
      </c>
      <c r="T764" s="10" t="n">
        <v>48.9</v>
      </c>
      <c r="U764" s="9" t="n">
        <v>5</v>
      </c>
      <c r="V764" s="3" t="s">
        <v>55</v>
      </c>
      <c r="W764" s="9" t="n">
        <v>0.75</v>
      </c>
      <c r="Z764" s="3" t="s">
        <v>1578</v>
      </c>
      <c r="AA764" s="3" t="s">
        <v>2340</v>
      </c>
      <c r="AB764" s="11" t="n">
        <v>46127</v>
      </c>
    </row>
    <row r="765" customFormat="false" ht="15" hidden="false" customHeight="false" outlineLevel="0" collapsed="false">
      <c r="A765" s="3" t="s">
        <v>2506</v>
      </c>
      <c r="B765" s="3" t="s">
        <v>48</v>
      </c>
      <c r="C765" s="3" t="s">
        <v>2507</v>
      </c>
      <c r="E765" s="3" t="s">
        <v>2508</v>
      </c>
      <c r="F765" s="3" t="s">
        <v>2336</v>
      </c>
      <c r="G765" s="3" t="s">
        <v>2337</v>
      </c>
      <c r="H765" s="3" t="s">
        <v>2338</v>
      </c>
      <c r="I765" s="3" t="s">
        <v>2509</v>
      </c>
      <c r="M765" s="8" t="n">
        <v>189898</v>
      </c>
      <c r="N765" s="8" t="n">
        <v>443237</v>
      </c>
      <c r="O765" s="9" t="n">
        <v>23.3</v>
      </c>
      <c r="P765" s="9" t="n">
        <v>57</v>
      </c>
      <c r="R765" s="9" t="n">
        <v>1</v>
      </c>
      <c r="T765" s="10" t="n">
        <v>74.4</v>
      </c>
      <c r="U765" s="9" t="n">
        <v>5</v>
      </c>
      <c r="V765" s="3" t="s">
        <v>83</v>
      </c>
      <c r="W765" s="9" t="n">
        <v>0.75</v>
      </c>
      <c r="Z765" s="3" t="s">
        <v>1578</v>
      </c>
      <c r="AA765" s="3" t="s">
        <v>2340</v>
      </c>
      <c r="AB765" s="11" t="n">
        <v>46127</v>
      </c>
    </row>
    <row r="766" customFormat="false" ht="15" hidden="false" customHeight="false" outlineLevel="0" collapsed="false">
      <c r="A766" s="3" t="s">
        <v>2510</v>
      </c>
      <c r="B766" s="3" t="s">
        <v>48</v>
      </c>
      <c r="C766" s="3" t="s">
        <v>2511</v>
      </c>
      <c r="E766" s="3" t="s">
        <v>2512</v>
      </c>
      <c r="F766" s="3" t="s">
        <v>2336</v>
      </c>
      <c r="G766" s="3" t="s">
        <v>2337</v>
      </c>
      <c r="H766" s="3" t="s">
        <v>2338</v>
      </c>
      <c r="I766" s="3" t="s">
        <v>2513</v>
      </c>
      <c r="M766" s="8" t="n">
        <v>614991</v>
      </c>
      <c r="N766" s="8" t="n">
        <v>325397</v>
      </c>
      <c r="O766" s="9" t="n">
        <v>4.2</v>
      </c>
      <c r="P766" s="9" t="n">
        <v>71</v>
      </c>
      <c r="R766" s="9" t="n">
        <v>1</v>
      </c>
      <c r="T766" s="10" t="n">
        <v>16.9</v>
      </c>
      <c r="U766" s="9" t="n">
        <v>4</v>
      </c>
      <c r="V766" s="3" t="s">
        <v>83</v>
      </c>
      <c r="W766" s="9" t="n">
        <v>0.75</v>
      </c>
      <c r="Z766" s="3" t="s">
        <v>1578</v>
      </c>
      <c r="AA766" s="3" t="s">
        <v>2340</v>
      </c>
      <c r="AB766" s="11" t="n">
        <v>46127</v>
      </c>
    </row>
    <row r="767" customFormat="false" ht="15" hidden="false" customHeight="false" outlineLevel="0" collapsed="false">
      <c r="A767" s="3" t="s">
        <v>2514</v>
      </c>
      <c r="B767" s="3" t="s">
        <v>48</v>
      </c>
      <c r="C767" s="3" t="s">
        <v>2515</v>
      </c>
      <c r="E767" s="3" t="s">
        <v>2516</v>
      </c>
      <c r="F767" s="3" t="s">
        <v>2336</v>
      </c>
      <c r="G767" s="3" t="s">
        <v>2337</v>
      </c>
      <c r="H767" s="3" t="s">
        <v>2338</v>
      </c>
      <c r="I767" s="3" t="s">
        <v>2517</v>
      </c>
      <c r="M767" s="8" t="n">
        <v>108842</v>
      </c>
      <c r="N767" s="8" t="n">
        <v>342155</v>
      </c>
      <c r="O767" s="9" t="n">
        <v>12.5</v>
      </c>
      <c r="P767" s="9" t="n">
        <v>61</v>
      </c>
      <c r="R767" s="9" t="n">
        <v>2</v>
      </c>
      <c r="T767" s="10" t="n">
        <v>60.3</v>
      </c>
      <c r="U767" s="9" t="n">
        <v>6</v>
      </c>
      <c r="V767" s="3" t="s">
        <v>55</v>
      </c>
      <c r="W767" s="9" t="n">
        <v>0.75</v>
      </c>
      <c r="Z767" s="3" t="s">
        <v>1578</v>
      </c>
      <c r="AA767" s="3" t="s">
        <v>2340</v>
      </c>
      <c r="AB767" s="11" t="n">
        <v>46127</v>
      </c>
    </row>
    <row r="768" customFormat="false" ht="15" hidden="false" customHeight="false" outlineLevel="0" collapsed="false">
      <c r="A768" s="3" t="s">
        <v>2518</v>
      </c>
      <c r="B768" s="3" t="s">
        <v>48</v>
      </c>
      <c r="C768" s="3" t="s">
        <v>2519</v>
      </c>
      <c r="E768" s="3" t="s">
        <v>2520</v>
      </c>
      <c r="F768" s="3" t="s">
        <v>2336</v>
      </c>
      <c r="G768" s="3" t="s">
        <v>2337</v>
      </c>
      <c r="H768" s="3" t="s">
        <v>2338</v>
      </c>
      <c r="I768" s="3" t="s">
        <v>2521</v>
      </c>
      <c r="M768" s="8" t="n">
        <v>480376</v>
      </c>
      <c r="N768" s="8" t="n">
        <v>286923</v>
      </c>
      <c r="O768" s="9" t="n">
        <v>19.6</v>
      </c>
      <c r="P768" s="9" t="n">
        <v>72</v>
      </c>
      <c r="R768" s="9" t="n">
        <v>2</v>
      </c>
      <c r="T768" s="10" t="n">
        <v>31.4</v>
      </c>
      <c r="U768" s="9" t="n">
        <v>5</v>
      </c>
      <c r="V768" s="3" t="s">
        <v>83</v>
      </c>
      <c r="W768" s="9" t="n">
        <v>0.75</v>
      </c>
      <c r="Z768" s="3" t="s">
        <v>1578</v>
      </c>
      <c r="AA768" s="3" t="s">
        <v>2340</v>
      </c>
      <c r="AB768" s="11" t="n">
        <v>46127</v>
      </c>
    </row>
    <row r="769" customFormat="false" ht="15" hidden="false" customHeight="false" outlineLevel="0" collapsed="false">
      <c r="A769" s="3" t="s">
        <v>2522</v>
      </c>
      <c r="B769" s="3" t="s">
        <v>48</v>
      </c>
      <c r="C769" s="3" t="s">
        <v>2523</v>
      </c>
      <c r="E769" s="3" t="s">
        <v>2524</v>
      </c>
      <c r="F769" s="3" t="s">
        <v>2336</v>
      </c>
      <c r="G769" s="3" t="s">
        <v>2337</v>
      </c>
      <c r="H769" s="3" t="s">
        <v>2338</v>
      </c>
      <c r="I769" s="3" t="s">
        <v>2525</v>
      </c>
      <c r="M769" s="8" t="n">
        <v>340045</v>
      </c>
      <c r="N769" s="8" t="n">
        <v>284879</v>
      </c>
      <c r="O769" s="9" t="n">
        <v>3.3</v>
      </c>
      <c r="P769" s="9" t="n">
        <v>36</v>
      </c>
      <c r="R769" s="9" t="n">
        <v>2</v>
      </c>
      <c r="T769" s="10" t="n">
        <v>92.5</v>
      </c>
      <c r="U769" s="9" t="n">
        <v>5</v>
      </c>
      <c r="V769" s="3" t="s">
        <v>83</v>
      </c>
      <c r="W769" s="9" t="n">
        <v>0.75</v>
      </c>
      <c r="Z769" s="3" t="s">
        <v>1578</v>
      </c>
      <c r="AA769" s="3" t="s">
        <v>2340</v>
      </c>
      <c r="AB769" s="11" t="n">
        <v>46127</v>
      </c>
    </row>
    <row r="770" customFormat="false" ht="15" hidden="false" customHeight="false" outlineLevel="0" collapsed="false">
      <c r="A770" s="3" t="s">
        <v>2526</v>
      </c>
      <c r="B770" s="3" t="s">
        <v>48</v>
      </c>
      <c r="C770" s="3" t="s">
        <v>2527</v>
      </c>
      <c r="E770" s="3" t="s">
        <v>2528</v>
      </c>
      <c r="F770" s="3" t="s">
        <v>2336</v>
      </c>
      <c r="G770" s="3" t="s">
        <v>2337</v>
      </c>
      <c r="H770" s="3" t="s">
        <v>2338</v>
      </c>
      <c r="I770" s="3" t="s">
        <v>2529</v>
      </c>
      <c r="M770" s="8" t="n">
        <v>292083</v>
      </c>
      <c r="N770" s="8" t="n">
        <v>599544</v>
      </c>
      <c r="O770" s="9" t="n">
        <v>8.1</v>
      </c>
      <c r="P770" s="9" t="n">
        <v>57</v>
      </c>
      <c r="R770" s="9" t="n">
        <v>1</v>
      </c>
      <c r="T770" s="10" t="n">
        <v>64.5</v>
      </c>
      <c r="U770" s="9" t="n">
        <v>3</v>
      </c>
      <c r="V770" s="3" t="s">
        <v>62</v>
      </c>
      <c r="W770" s="9" t="n">
        <v>0.75</v>
      </c>
      <c r="Z770" s="3" t="s">
        <v>1578</v>
      </c>
      <c r="AA770" s="3" t="s">
        <v>2340</v>
      </c>
      <c r="AB770" s="11" t="n">
        <v>46127</v>
      </c>
    </row>
    <row r="771" customFormat="false" ht="15" hidden="false" customHeight="false" outlineLevel="0" collapsed="false">
      <c r="A771" s="3" t="s">
        <v>2530</v>
      </c>
      <c r="B771" s="3" t="s">
        <v>48</v>
      </c>
      <c r="C771" s="3" t="s">
        <v>2531</v>
      </c>
      <c r="E771" s="3" t="s">
        <v>2532</v>
      </c>
      <c r="F771" s="3" t="s">
        <v>2336</v>
      </c>
      <c r="G771" s="3" t="s">
        <v>2337</v>
      </c>
      <c r="H771" s="3" t="s">
        <v>2338</v>
      </c>
      <c r="I771" s="3" t="s">
        <v>2533</v>
      </c>
      <c r="M771" s="8" t="n">
        <v>677382</v>
      </c>
      <c r="N771" s="8" t="n">
        <v>361594</v>
      </c>
      <c r="O771" s="9" t="n">
        <v>8.4</v>
      </c>
      <c r="P771" s="9" t="n">
        <v>50</v>
      </c>
      <c r="R771" s="9" t="n">
        <v>1</v>
      </c>
      <c r="T771" s="10" t="n">
        <v>55.3</v>
      </c>
      <c r="U771" s="9" t="n">
        <v>7</v>
      </c>
      <c r="V771" s="3" t="s">
        <v>92</v>
      </c>
      <c r="W771" s="9" t="n">
        <v>0.75</v>
      </c>
      <c r="Z771" s="3" t="s">
        <v>1578</v>
      </c>
      <c r="AA771" s="3" t="s">
        <v>2340</v>
      </c>
      <c r="AB771" s="11" t="n">
        <v>46127</v>
      </c>
    </row>
    <row r="772" customFormat="false" ht="15" hidden="false" customHeight="false" outlineLevel="0" collapsed="false">
      <c r="A772" s="3" t="s">
        <v>2534</v>
      </c>
      <c r="B772" s="3" t="s">
        <v>48</v>
      </c>
      <c r="C772" s="3" t="s">
        <v>2535</v>
      </c>
      <c r="E772" s="3" t="s">
        <v>2536</v>
      </c>
      <c r="F772" s="3" t="s">
        <v>2336</v>
      </c>
      <c r="G772" s="3" t="s">
        <v>2337</v>
      </c>
      <c r="H772" s="3" t="s">
        <v>2338</v>
      </c>
      <c r="I772" s="3" t="s">
        <v>2537</v>
      </c>
      <c r="M772" s="8" t="n">
        <v>443996</v>
      </c>
      <c r="N772" s="8" t="n">
        <v>260305</v>
      </c>
      <c r="O772" s="9" t="n">
        <v>13.8</v>
      </c>
      <c r="P772" s="9" t="n">
        <v>62</v>
      </c>
      <c r="R772" s="9" t="n">
        <v>1</v>
      </c>
      <c r="T772" s="10" t="n">
        <v>67.7</v>
      </c>
      <c r="U772" s="9" t="n">
        <v>7</v>
      </c>
      <c r="V772" s="3" t="s">
        <v>83</v>
      </c>
      <c r="W772" s="9" t="n">
        <v>0.75</v>
      </c>
      <c r="Z772" s="3" t="s">
        <v>1578</v>
      </c>
      <c r="AA772" s="3" t="s">
        <v>2340</v>
      </c>
      <c r="AB772" s="11" t="n">
        <v>46127</v>
      </c>
    </row>
    <row r="773" customFormat="false" ht="15" hidden="false" customHeight="false" outlineLevel="0" collapsed="false">
      <c r="A773" s="3" t="s">
        <v>2538</v>
      </c>
      <c r="B773" s="3" t="s">
        <v>48</v>
      </c>
      <c r="C773" s="3" t="s">
        <v>2539</v>
      </c>
      <c r="E773" s="3" t="s">
        <v>2540</v>
      </c>
      <c r="F773" s="3" t="s">
        <v>2336</v>
      </c>
      <c r="G773" s="3" t="s">
        <v>2337</v>
      </c>
      <c r="H773" s="3" t="s">
        <v>2338</v>
      </c>
      <c r="I773" s="3" t="s">
        <v>2541</v>
      </c>
      <c r="M773" s="8" t="n">
        <v>179106</v>
      </c>
      <c r="N773" s="8" t="n">
        <v>113228</v>
      </c>
      <c r="O773" s="9" t="n">
        <v>4.8</v>
      </c>
      <c r="P773" s="9" t="n">
        <v>51</v>
      </c>
      <c r="R773" s="9" t="n">
        <v>1</v>
      </c>
      <c r="T773" s="10" t="n">
        <v>49.2</v>
      </c>
      <c r="U773" s="9" t="n">
        <v>9</v>
      </c>
      <c r="V773" s="3" t="s">
        <v>62</v>
      </c>
      <c r="W773" s="9" t="n">
        <v>0.75</v>
      </c>
      <c r="Z773" s="3" t="s">
        <v>1578</v>
      </c>
      <c r="AA773" s="3" t="s">
        <v>2340</v>
      </c>
      <c r="AB773" s="11" t="n">
        <v>46127</v>
      </c>
    </row>
    <row r="774" customFormat="false" ht="15" hidden="false" customHeight="false" outlineLevel="0" collapsed="false">
      <c r="A774" s="3" t="s">
        <v>2542</v>
      </c>
      <c r="B774" s="3" t="s">
        <v>48</v>
      </c>
      <c r="C774" s="3" t="s">
        <v>2543</v>
      </c>
      <c r="E774" s="3" t="s">
        <v>2544</v>
      </c>
      <c r="F774" s="3" t="s">
        <v>2336</v>
      </c>
      <c r="G774" s="3" t="s">
        <v>2337</v>
      </c>
      <c r="H774" s="3" t="s">
        <v>2338</v>
      </c>
      <c r="I774" s="3" t="s">
        <v>2545</v>
      </c>
      <c r="M774" s="8" t="n">
        <v>155922</v>
      </c>
      <c r="N774" s="8" t="n">
        <v>493560</v>
      </c>
      <c r="O774" s="9" t="n">
        <v>2.1</v>
      </c>
      <c r="P774" s="9" t="n">
        <v>47</v>
      </c>
      <c r="R774" s="9" t="n">
        <v>1</v>
      </c>
      <c r="T774" s="10" t="n">
        <v>15.6</v>
      </c>
      <c r="U774" s="9" t="n">
        <v>10</v>
      </c>
      <c r="V774" s="3" t="s">
        <v>92</v>
      </c>
      <c r="W774" s="9" t="n">
        <v>0.75</v>
      </c>
      <c r="Z774" s="3" t="s">
        <v>1578</v>
      </c>
      <c r="AA774" s="3" t="s">
        <v>2340</v>
      </c>
      <c r="AB774" s="11" t="n">
        <v>46127</v>
      </c>
    </row>
    <row r="775" customFormat="false" ht="15" hidden="false" customHeight="false" outlineLevel="0" collapsed="false">
      <c r="A775" s="3" t="s">
        <v>2546</v>
      </c>
      <c r="B775" s="3" t="s">
        <v>48</v>
      </c>
      <c r="C775" s="3" t="s">
        <v>2547</v>
      </c>
      <c r="E775" s="3" t="s">
        <v>2548</v>
      </c>
      <c r="F775" s="3" t="s">
        <v>2336</v>
      </c>
      <c r="G775" s="3" t="s">
        <v>2337</v>
      </c>
      <c r="H775" s="3" t="s">
        <v>2338</v>
      </c>
      <c r="I775" s="3" t="s">
        <v>2549</v>
      </c>
      <c r="M775" s="8" t="n">
        <v>863425</v>
      </c>
      <c r="N775" s="8" t="n">
        <v>438305</v>
      </c>
      <c r="O775" s="9" t="n">
        <v>24.8</v>
      </c>
      <c r="P775" s="9" t="n">
        <v>65</v>
      </c>
      <c r="R775" s="9" t="n">
        <v>1</v>
      </c>
      <c r="T775" s="10" t="n">
        <v>43</v>
      </c>
      <c r="U775" s="9" t="n">
        <v>4</v>
      </c>
      <c r="V775" s="3" t="s">
        <v>62</v>
      </c>
      <c r="W775" s="9" t="n">
        <v>0.75</v>
      </c>
      <c r="Z775" s="3" t="s">
        <v>1578</v>
      </c>
      <c r="AA775" s="3" t="s">
        <v>2340</v>
      </c>
      <c r="AB775" s="11" t="n">
        <v>46127</v>
      </c>
    </row>
    <row r="776" customFormat="false" ht="15" hidden="false" customHeight="false" outlineLevel="0" collapsed="false">
      <c r="A776" s="3" t="s">
        <v>2550</v>
      </c>
      <c r="B776" s="3" t="s">
        <v>48</v>
      </c>
      <c r="C776" s="3" t="s">
        <v>2551</v>
      </c>
      <c r="E776" s="3" t="s">
        <v>2552</v>
      </c>
      <c r="F776" s="3" t="s">
        <v>2336</v>
      </c>
      <c r="G776" s="3" t="s">
        <v>2337</v>
      </c>
      <c r="H776" s="3" t="s">
        <v>2338</v>
      </c>
      <c r="I776" s="3" t="s">
        <v>2553</v>
      </c>
      <c r="M776" s="8" t="n">
        <v>393901</v>
      </c>
      <c r="N776" s="8" t="n">
        <v>178815</v>
      </c>
      <c r="O776" s="9" t="n">
        <v>16.6</v>
      </c>
      <c r="P776" s="9" t="n">
        <v>71</v>
      </c>
      <c r="R776" s="9" t="n">
        <v>1</v>
      </c>
      <c r="T776" s="10" t="n">
        <v>65.5</v>
      </c>
      <c r="U776" s="9" t="n">
        <v>9</v>
      </c>
      <c r="V776" s="3" t="s">
        <v>55</v>
      </c>
      <c r="W776" s="9" t="n">
        <v>0.75</v>
      </c>
      <c r="Z776" s="3" t="s">
        <v>1578</v>
      </c>
      <c r="AA776" s="3" t="s">
        <v>2340</v>
      </c>
      <c r="AB776" s="11" t="n">
        <v>46127</v>
      </c>
    </row>
    <row r="777" customFormat="false" ht="15" hidden="false" customHeight="false" outlineLevel="0" collapsed="false">
      <c r="A777" s="3" t="s">
        <v>2554</v>
      </c>
      <c r="B777" s="3" t="s">
        <v>48</v>
      </c>
      <c r="C777" s="3" t="s">
        <v>2555</v>
      </c>
      <c r="E777" s="3" t="s">
        <v>2556</v>
      </c>
      <c r="F777" s="3" t="s">
        <v>2336</v>
      </c>
      <c r="G777" s="3" t="s">
        <v>2337</v>
      </c>
      <c r="H777" s="3" t="s">
        <v>2338</v>
      </c>
      <c r="I777" s="3" t="s">
        <v>2557</v>
      </c>
      <c r="M777" s="8" t="n">
        <v>285073</v>
      </c>
      <c r="N777" s="8" t="n">
        <v>639535</v>
      </c>
      <c r="O777" s="9" t="n">
        <v>8.1</v>
      </c>
      <c r="P777" s="9" t="n">
        <v>71</v>
      </c>
      <c r="R777" s="9" t="n">
        <v>1</v>
      </c>
      <c r="T777" s="10" t="n">
        <v>18.2</v>
      </c>
      <c r="U777" s="9" t="n">
        <v>4</v>
      </c>
      <c r="V777" s="3" t="s">
        <v>83</v>
      </c>
      <c r="W777" s="9" t="n">
        <v>0.75</v>
      </c>
      <c r="Z777" s="3" t="s">
        <v>1578</v>
      </c>
      <c r="AA777" s="3" t="s">
        <v>2340</v>
      </c>
      <c r="AB777" s="11" t="n">
        <v>46127</v>
      </c>
    </row>
    <row r="778" customFormat="false" ht="15" hidden="false" customHeight="false" outlineLevel="0" collapsed="false">
      <c r="A778" s="3" t="s">
        <v>2558</v>
      </c>
      <c r="B778" s="3" t="s">
        <v>48</v>
      </c>
      <c r="C778" s="3" t="s">
        <v>2559</v>
      </c>
      <c r="E778" s="3" t="s">
        <v>2560</v>
      </c>
      <c r="F778" s="3" t="s">
        <v>2336</v>
      </c>
      <c r="G778" s="3" t="s">
        <v>2337</v>
      </c>
      <c r="H778" s="3" t="s">
        <v>2338</v>
      </c>
      <c r="I778" s="3" t="s">
        <v>2561</v>
      </c>
      <c r="M778" s="8" t="n">
        <v>733559</v>
      </c>
      <c r="N778" s="8" t="n">
        <v>462513</v>
      </c>
      <c r="O778" s="9" t="n">
        <v>23.3</v>
      </c>
      <c r="P778" s="9" t="n">
        <v>53</v>
      </c>
      <c r="R778" s="9" t="n">
        <v>1</v>
      </c>
      <c r="T778" s="10" t="n">
        <v>67.3</v>
      </c>
      <c r="U778" s="9" t="n">
        <v>8</v>
      </c>
      <c r="V778" s="3" t="s">
        <v>92</v>
      </c>
      <c r="W778" s="9" t="n">
        <v>0.75</v>
      </c>
      <c r="Z778" s="3" t="s">
        <v>1578</v>
      </c>
      <c r="AA778" s="3" t="s">
        <v>2340</v>
      </c>
      <c r="AB778" s="11" t="n">
        <v>46127</v>
      </c>
    </row>
    <row r="779" customFormat="false" ht="15" hidden="false" customHeight="false" outlineLevel="0" collapsed="false">
      <c r="A779" s="3" t="s">
        <v>2562</v>
      </c>
      <c r="B779" s="3" t="s">
        <v>48</v>
      </c>
      <c r="C779" s="3" t="s">
        <v>2563</v>
      </c>
      <c r="E779" s="3" t="s">
        <v>2564</v>
      </c>
      <c r="F779" s="3" t="s">
        <v>2336</v>
      </c>
      <c r="G779" s="3" t="s">
        <v>2337</v>
      </c>
      <c r="H779" s="3" t="s">
        <v>2338</v>
      </c>
      <c r="I779" s="3" t="s">
        <v>2565</v>
      </c>
      <c r="M779" s="8" t="n">
        <v>1160463</v>
      </c>
      <c r="N779" s="8" t="n">
        <v>270735</v>
      </c>
      <c r="O779" s="9" t="n">
        <v>5.9</v>
      </c>
      <c r="P779" s="9" t="n">
        <v>57</v>
      </c>
      <c r="R779" s="9" t="n">
        <v>1</v>
      </c>
      <c r="T779" s="10" t="n">
        <v>49.8</v>
      </c>
      <c r="U779" s="9" t="n">
        <v>8</v>
      </c>
      <c r="V779" s="3" t="s">
        <v>83</v>
      </c>
      <c r="W779" s="9" t="n">
        <v>0.75</v>
      </c>
      <c r="Z779" s="3" t="s">
        <v>1578</v>
      </c>
      <c r="AA779" s="3" t="s">
        <v>2340</v>
      </c>
      <c r="AB779" s="11" t="n">
        <v>46127</v>
      </c>
    </row>
    <row r="780" customFormat="false" ht="15" hidden="false" customHeight="false" outlineLevel="0" collapsed="false">
      <c r="A780" s="3" t="s">
        <v>2566</v>
      </c>
      <c r="B780" s="3" t="s">
        <v>48</v>
      </c>
      <c r="C780" s="3" t="s">
        <v>2567</v>
      </c>
      <c r="E780" s="3" t="s">
        <v>2568</v>
      </c>
      <c r="F780" s="3" t="s">
        <v>2336</v>
      </c>
      <c r="G780" s="3" t="s">
        <v>2337</v>
      </c>
      <c r="H780" s="3" t="s">
        <v>2338</v>
      </c>
      <c r="I780" s="3" t="s">
        <v>2569</v>
      </c>
      <c r="M780" s="8" t="n">
        <v>79517</v>
      </c>
      <c r="N780" s="8" t="n">
        <v>1071047</v>
      </c>
      <c r="O780" s="9" t="n">
        <v>11.6</v>
      </c>
      <c r="P780" s="9" t="n">
        <v>37</v>
      </c>
      <c r="R780" s="9" t="n">
        <v>2</v>
      </c>
      <c r="T780" s="10" t="n">
        <v>30.9</v>
      </c>
      <c r="U780" s="9" t="n">
        <v>6</v>
      </c>
      <c r="V780" s="3" t="s">
        <v>55</v>
      </c>
      <c r="W780" s="9" t="n">
        <v>0.75</v>
      </c>
      <c r="Z780" s="3" t="s">
        <v>1578</v>
      </c>
      <c r="AA780" s="3" t="s">
        <v>2340</v>
      </c>
      <c r="AB780" s="11" t="n">
        <v>46127</v>
      </c>
    </row>
    <row r="781" customFormat="false" ht="15" hidden="false" customHeight="false" outlineLevel="0" collapsed="false">
      <c r="A781" s="3" t="s">
        <v>2570</v>
      </c>
      <c r="B781" s="3" t="s">
        <v>48</v>
      </c>
      <c r="C781" s="3" t="s">
        <v>2571</v>
      </c>
      <c r="E781" s="3" t="s">
        <v>2572</v>
      </c>
      <c r="F781" s="3" t="s">
        <v>2336</v>
      </c>
      <c r="G781" s="3" t="s">
        <v>2337</v>
      </c>
      <c r="H781" s="3" t="s">
        <v>2338</v>
      </c>
      <c r="I781" s="3" t="s">
        <v>2573</v>
      </c>
      <c r="M781" s="8" t="n">
        <v>650768</v>
      </c>
      <c r="N781" s="8" t="n">
        <v>111977</v>
      </c>
      <c r="O781" s="9" t="n">
        <v>23</v>
      </c>
      <c r="P781" s="9" t="n">
        <v>63</v>
      </c>
      <c r="R781" s="9" t="n">
        <v>1</v>
      </c>
      <c r="T781" s="10" t="n">
        <v>64.8</v>
      </c>
      <c r="U781" s="9" t="n">
        <v>10</v>
      </c>
      <c r="V781" s="3" t="s">
        <v>83</v>
      </c>
      <c r="W781" s="9" t="n">
        <v>0.75</v>
      </c>
      <c r="Z781" s="3" t="s">
        <v>1578</v>
      </c>
      <c r="AA781" s="3" t="s">
        <v>2340</v>
      </c>
      <c r="AB781" s="11" t="n">
        <v>46127</v>
      </c>
    </row>
    <row r="782" customFormat="false" ht="15" hidden="false" customHeight="false" outlineLevel="0" collapsed="false">
      <c r="A782" s="3" t="s">
        <v>2574</v>
      </c>
      <c r="B782" s="3" t="s">
        <v>378</v>
      </c>
      <c r="C782" s="3" t="s">
        <v>2334</v>
      </c>
      <c r="D782" s="3" t="s">
        <v>391</v>
      </c>
      <c r="E782" s="3" t="s">
        <v>2575</v>
      </c>
      <c r="F782" s="3" t="s">
        <v>2336</v>
      </c>
      <c r="G782" s="3" t="s">
        <v>2337</v>
      </c>
      <c r="H782" s="3" t="s">
        <v>2338</v>
      </c>
      <c r="I782" s="3" t="s">
        <v>2576</v>
      </c>
      <c r="M782" s="8" t="n">
        <v>314294</v>
      </c>
      <c r="P782" s="9" t="n">
        <v>51</v>
      </c>
      <c r="Q782" s="9" t="n">
        <v>11.7</v>
      </c>
      <c r="R782" s="9" t="n">
        <v>3</v>
      </c>
      <c r="S782" s="8" t="n">
        <v>553222</v>
      </c>
      <c r="T782" s="10" t="n">
        <v>40</v>
      </c>
      <c r="U782" s="9" t="n">
        <v>1</v>
      </c>
      <c r="V782" s="3" t="s">
        <v>62</v>
      </c>
      <c r="W782" s="9" t="n">
        <v>0.75</v>
      </c>
      <c r="Z782" s="3" t="s">
        <v>1578</v>
      </c>
      <c r="AA782" s="3" t="s">
        <v>2577</v>
      </c>
      <c r="AB782" s="11" t="n">
        <v>46127</v>
      </c>
    </row>
    <row r="783" customFormat="false" ht="15" hidden="false" customHeight="false" outlineLevel="0" collapsed="false">
      <c r="A783" s="3" t="s">
        <v>2578</v>
      </c>
      <c r="B783" s="3" t="s">
        <v>378</v>
      </c>
      <c r="C783" s="3" t="s">
        <v>2342</v>
      </c>
      <c r="D783" s="3" t="s">
        <v>379</v>
      </c>
      <c r="E783" s="3" t="s">
        <v>2579</v>
      </c>
      <c r="F783" s="3" t="s">
        <v>2336</v>
      </c>
      <c r="G783" s="3" t="s">
        <v>2337</v>
      </c>
      <c r="H783" s="3" t="s">
        <v>2338</v>
      </c>
      <c r="I783" s="3" t="s">
        <v>2580</v>
      </c>
      <c r="M783" s="8" t="n">
        <v>312534</v>
      </c>
      <c r="P783" s="9" t="n">
        <v>60</v>
      </c>
      <c r="Q783" s="9" t="n">
        <v>12.7</v>
      </c>
      <c r="R783" s="9" t="n">
        <v>1</v>
      </c>
      <c r="S783" s="8" t="n">
        <v>222617</v>
      </c>
      <c r="T783" s="10" t="n">
        <v>17.4</v>
      </c>
      <c r="U783" s="9" t="n">
        <v>6</v>
      </c>
      <c r="V783" s="3" t="s">
        <v>92</v>
      </c>
      <c r="W783" s="9" t="n">
        <v>0.75</v>
      </c>
      <c r="Z783" s="3" t="s">
        <v>1578</v>
      </c>
      <c r="AA783" s="3" t="s">
        <v>2577</v>
      </c>
      <c r="AB783" s="11" t="n">
        <v>46127</v>
      </c>
    </row>
    <row r="784" customFormat="false" ht="15" hidden="false" customHeight="false" outlineLevel="0" collapsed="false">
      <c r="A784" s="3" t="s">
        <v>2581</v>
      </c>
      <c r="B784" s="3" t="s">
        <v>378</v>
      </c>
      <c r="C784" s="3" t="s">
        <v>2346</v>
      </c>
      <c r="D784" s="3" t="s">
        <v>379</v>
      </c>
      <c r="E784" s="3" t="s">
        <v>2582</v>
      </c>
      <c r="F784" s="3" t="s">
        <v>2336</v>
      </c>
      <c r="G784" s="3" t="s">
        <v>2337</v>
      </c>
      <c r="H784" s="3" t="s">
        <v>2338</v>
      </c>
      <c r="I784" s="3" t="s">
        <v>2583</v>
      </c>
      <c r="M784" s="8" t="n">
        <v>488806</v>
      </c>
      <c r="P784" s="9" t="n">
        <v>58</v>
      </c>
      <c r="Q784" s="9" t="n">
        <v>28.6</v>
      </c>
      <c r="R784" s="9" t="n">
        <v>1</v>
      </c>
      <c r="S784" s="8" t="n">
        <v>618456</v>
      </c>
      <c r="T784" s="10" t="n">
        <v>87.5</v>
      </c>
      <c r="U784" s="9" t="n">
        <v>4</v>
      </c>
      <c r="V784" s="3" t="s">
        <v>62</v>
      </c>
      <c r="W784" s="9" t="n">
        <v>0.75</v>
      </c>
      <c r="Z784" s="3" t="s">
        <v>1578</v>
      </c>
      <c r="AA784" s="3" t="s">
        <v>2577</v>
      </c>
      <c r="AB784" s="11" t="n">
        <v>46127</v>
      </c>
    </row>
    <row r="785" customFormat="false" ht="15" hidden="false" customHeight="false" outlineLevel="0" collapsed="false">
      <c r="A785" s="3" t="s">
        <v>2584</v>
      </c>
      <c r="B785" s="3" t="s">
        <v>378</v>
      </c>
      <c r="C785" s="3" t="s">
        <v>2350</v>
      </c>
      <c r="D785" s="3" t="s">
        <v>384</v>
      </c>
      <c r="E785" s="3" t="s">
        <v>2585</v>
      </c>
      <c r="F785" s="3" t="s">
        <v>2336</v>
      </c>
      <c r="G785" s="3" t="s">
        <v>2337</v>
      </c>
      <c r="H785" s="3" t="s">
        <v>2338</v>
      </c>
      <c r="I785" s="3" t="s">
        <v>2586</v>
      </c>
      <c r="M785" s="8" t="n">
        <v>187763</v>
      </c>
      <c r="P785" s="9" t="n">
        <v>46</v>
      </c>
      <c r="Q785" s="9" t="n">
        <v>29.6</v>
      </c>
      <c r="R785" s="9" t="n">
        <v>1</v>
      </c>
      <c r="S785" s="8" t="n">
        <v>119068</v>
      </c>
      <c r="T785" s="10" t="n">
        <v>17.7</v>
      </c>
      <c r="U785" s="9" t="n">
        <v>9</v>
      </c>
      <c r="V785" s="3" t="s">
        <v>83</v>
      </c>
      <c r="W785" s="9" t="n">
        <v>0.75</v>
      </c>
      <c r="Z785" s="3" t="s">
        <v>1578</v>
      </c>
      <c r="AA785" s="3" t="s">
        <v>2577</v>
      </c>
      <c r="AB785" s="11" t="n">
        <v>46127</v>
      </c>
    </row>
    <row r="786" customFormat="false" ht="15" hidden="false" customHeight="false" outlineLevel="0" collapsed="false">
      <c r="A786" s="3" t="s">
        <v>2587</v>
      </c>
      <c r="B786" s="3" t="s">
        <v>378</v>
      </c>
      <c r="C786" s="3" t="s">
        <v>2354</v>
      </c>
      <c r="D786" s="3" t="s">
        <v>379</v>
      </c>
      <c r="E786" s="3" t="s">
        <v>2588</v>
      </c>
      <c r="F786" s="3" t="s">
        <v>2336</v>
      </c>
      <c r="G786" s="3" t="s">
        <v>2337</v>
      </c>
      <c r="H786" s="3" t="s">
        <v>2338</v>
      </c>
      <c r="I786" s="3" t="s">
        <v>2589</v>
      </c>
      <c r="M786" s="8" t="n">
        <v>592539</v>
      </c>
      <c r="P786" s="9" t="n">
        <v>76</v>
      </c>
      <c r="Q786" s="9" t="n">
        <v>12.2</v>
      </c>
      <c r="R786" s="9" t="n">
        <v>1</v>
      </c>
      <c r="S786" s="8" t="n">
        <v>1270004</v>
      </c>
      <c r="T786" s="10" t="n">
        <v>36.1</v>
      </c>
      <c r="U786" s="9" t="n">
        <v>2</v>
      </c>
      <c r="V786" s="3" t="s">
        <v>83</v>
      </c>
      <c r="W786" s="9" t="n">
        <v>0.75</v>
      </c>
      <c r="Z786" s="3" t="s">
        <v>1578</v>
      </c>
      <c r="AA786" s="3" t="s">
        <v>2577</v>
      </c>
      <c r="AB786" s="11" t="n">
        <v>46127</v>
      </c>
    </row>
    <row r="787" customFormat="false" ht="15" hidden="false" customHeight="false" outlineLevel="0" collapsed="false">
      <c r="A787" s="3" t="s">
        <v>2590</v>
      </c>
      <c r="B787" s="3" t="s">
        <v>378</v>
      </c>
      <c r="C787" s="3" t="s">
        <v>2358</v>
      </c>
      <c r="D787" s="3" t="s">
        <v>384</v>
      </c>
      <c r="E787" s="3" t="s">
        <v>2591</v>
      </c>
      <c r="F787" s="3" t="s">
        <v>2336</v>
      </c>
      <c r="G787" s="3" t="s">
        <v>2337</v>
      </c>
      <c r="H787" s="3" t="s">
        <v>2338</v>
      </c>
      <c r="I787" s="3" t="s">
        <v>2592</v>
      </c>
      <c r="M787" s="8" t="n">
        <v>280341</v>
      </c>
      <c r="P787" s="9" t="n">
        <v>61</v>
      </c>
      <c r="Q787" s="9" t="n">
        <v>25.1</v>
      </c>
      <c r="R787" s="9" t="n">
        <v>1</v>
      </c>
      <c r="S787" s="8" t="n">
        <v>222784</v>
      </c>
      <c r="T787" s="10" t="n">
        <v>77.7</v>
      </c>
      <c r="U787" s="9" t="n">
        <v>6</v>
      </c>
      <c r="V787" s="3" t="s">
        <v>83</v>
      </c>
      <c r="W787" s="9" t="n">
        <v>0.75</v>
      </c>
      <c r="Z787" s="3" t="s">
        <v>1578</v>
      </c>
      <c r="AA787" s="3" t="s">
        <v>2577</v>
      </c>
      <c r="AB787" s="11" t="n">
        <v>46127</v>
      </c>
    </row>
    <row r="788" customFormat="false" ht="15" hidden="false" customHeight="false" outlineLevel="0" collapsed="false">
      <c r="A788" s="3" t="s">
        <v>2593</v>
      </c>
      <c r="B788" s="3" t="s">
        <v>378</v>
      </c>
      <c r="C788" s="3" t="s">
        <v>2362</v>
      </c>
      <c r="D788" s="3" t="s">
        <v>391</v>
      </c>
      <c r="E788" s="3" t="s">
        <v>2594</v>
      </c>
      <c r="F788" s="3" t="s">
        <v>2336</v>
      </c>
      <c r="G788" s="3" t="s">
        <v>2337</v>
      </c>
      <c r="H788" s="3" t="s">
        <v>2338</v>
      </c>
      <c r="I788" s="3" t="s">
        <v>2595</v>
      </c>
      <c r="M788" s="8" t="n">
        <v>248940</v>
      </c>
      <c r="P788" s="9" t="n">
        <v>65</v>
      </c>
      <c r="Q788" s="9" t="n">
        <v>9.4</v>
      </c>
      <c r="R788" s="9" t="n">
        <v>1</v>
      </c>
      <c r="S788" s="8" t="n">
        <v>666027</v>
      </c>
      <c r="T788" s="10" t="n">
        <v>72.8</v>
      </c>
      <c r="U788" s="9" t="n">
        <v>7</v>
      </c>
      <c r="V788" s="3" t="s">
        <v>62</v>
      </c>
      <c r="W788" s="9" t="n">
        <v>0.75</v>
      </c>
      <c r="Z788" s="3" t="s">
        <v>1578</v>
      </c>
      <c r="AA788" s="3" t="s">
        <v>2577</v>
      </c>
      <c r="AB788" s="11" t="n">
        <v>46127</v>
      </c>
    </row>
    <row r="789" customFormat="false" ht="15" hidden="false" customHeight="false" outlineLevel="0" collapsed="false">
      <c r="A789" s="3" t="s">
        <v>2596</v>
      </c>
      <c r="B789" s="3" t="s">
        <v>378</v>
      </c>
      <c r="C789" s="3" t="s">
        <v>2366</v>
      </c>
      <c r="D789" s="3" t="s">
        <v>391</v>
      </c>
      <c r="E789" s="3" t="s">
        <v>1120</v>
      </c>
      <c r="F789" s="3" t="s">
        <v>2336</v>
      </c>
      <c r="G789" s="3" t="s">
        <v>2337</v>
      </c>
      <c r="H789" s="3" t="s">
        <v>2338</v>
      </c>
      <c r="I789" s="3" t="s">
        <v>1412</v>
      </c>
      <c r="M789" s="8" t="n">
        <v>264677</v>
      </c>
      <c r="P789" s="9" t="n">
        <v>75</v>
      </c>
      <c r="Q789" s="9" t="n">
        <v>24.5</v>
      </c>
      <c r="R789" s="9" t="n">
        <v>2</v>
      </c>
      <c r="S789" s="8" t="n">
        <v>955108</v>
      </c>
      <c r="T789" s="10" t="n">
        <v>33.2</v>
      </c>
      <c r="U789" s="9" t="n">
        <v>5</v>
      </c>
      <c r="V789" s="3" t="s">
        <v>55</v>
      </c>
      <c r="W789" s="9" t="n">
        <v>0.75</v>
      </c>
      <c r="Z789" s="3" t="s">
        <v>1578</v>
      </c>
      <c r="AA789" s="3" t="s">
        <v>2577</v>
      </c>
      <c r="AB789" s="11" t="n">
        <v>46127</v>
      </c>
    </row>
    <row r="790" customFormat="false" ht="15" hidden="false" customHeight="false" outlineLevel="0" collapsed="false">
      <c r="A790" s="3" t="s">
        <v>2597</v>
      </c>
      <c r="B790" s="3" t="s">
        <v>378</v>
      </c>
      <c r="C790" s="3" t="s">
        <v>2370</v>
      </c>
      <c r="D790" s="3" t="s">
        <v>379</v>
      </c>
      <c r="E790" s="3" t="s">
        <v>2598</v>
      </c>
      <c r="F790" s="3" t="s">
        <v>2336</v>
      </c>
      <c r="G790" s="3" t="s">
        <v>2337</v>
      </c>
      <c r="H790" s="3" t="s">
        <v>2338</v>
      </c>
      <c r="I790" s="3" t="s">
        <v>2599</v>
      </c>
      <c r="M790" s="8" t="n">
        <v>254864</v>
      </c>
      <c r="P790" s="9" t="n">
        <v>36</v>
      </c>
      <c r="Q790" s="9" t="n">
        <v>11.7</v>
      </c>
      <c r="R790" s="9" t="n">
        <v>1</v>
      </c>
      <c r="S790" s="8" t="n">
        <v>542147</v>
      </c>
      <c r="T790" s="10" t="n">
        <v>92.9</v>
      </c>
      <c r="U790" s="9" t="n">
        <v>2</v>
      </c>
      <c r="V790" s="3" t="s">
        <v>55</v>
      </c>
      <c r="W790" s="9" t="n">
        <v>0.75</v>
      </c>
      <c r="Z790" s="3" t="s">
        <v>1578</v>
      </c>
      <c r="AA790" s="3" t="s">
        <v>2577</v>
      </c>
      <c r="AB790" s="11" t="n">
        <v>46127</v>
      </c>
    </row>
    <row r="791" customFormat="false" ht="15" hidden="false" customHeight="false" outlineLevel="0" collapsed="false">
      <c r="A791" s="3" t="s">
        <v>2600</v>
      </c>
      <c r="B791" s="3" t="s">
        <v>378</v>
      </c>
      <c r="C791" s="3" t="s">
        <v>2374</v>
      </c>
      <c r="D791" s="3" t="s">
        <v>391</v>
      </c>
      <c r="E791" s="3" t="s">
        <v>2601</v>
      </c>
      <c r="F791" s="3" t="s">
        <v>2336</v>
      </c>
      <c r="G791" s="3" t="s">
        <v>2337</v>
      </c>
      <c r="H791" s="3" t="s">
        <v>2338</v>
      </c>
      <c r="I791" s="3" t="s">
        <v>2602</v>
      </c>
      <c r="M791" s="8" t="n">
        <v>394286</v>
      </c>
      <c r="P791" s="9" t="n">
        <v>43</v>
      </c>
      <c r="Q791" s="9" t="n">
        <v>26.8</v>
      </c>
      <c r="R791" s="9" t="n">
        <v>1</v>
      </c>
      <c r="S791" s="8" t="n">
        <v>173960</v>
      </c>
      <c r="T791" s="10" t="n">
        <v>27.7</v>
      </c>
      <c r="U791" s="9" t="n">
        <v>10</v>
      </c>
      <c r="V791" s="3" t="s">
        <v>92</v>
      </c>
      <c r="W791" s="9" t="n">
        <v>0.75</v>
      </c>
      <c r="Z791" s="3" t="s">
        <v>1578</v>
      </c>
      <c r="AA791" s="3" t="s">
        <v>2577</v>
      </c>
      <c r="AB791" s="11" t="n">
        <v>46127</v>
      </c>
    </row>
    <row r="792" customFormat="false" ht="15" hidden="false" customHeight="false" outlineLevel="0" collapsed="false">
      <c r="A792" s="3" t="s">
        <v>2603</v>
      </c>
      <c r="B792" s="3" t="s">
        <v>378</v>
      </c>
      <c r="C792" s="3" t="s">
        <v>2378</v>
      </c>
      <c r="D792" s="3" t="s">
        <v>391</v>
      </c>
      <c r="E792" s="3" t="s">
        <v>2604</v>
      </c>
      <c r="F792" s="3" t="s">
        <v>2336</v>
      </c>
      <c r="G792" s="3" t="s">
        <v>2337</v>
      </c>
      <c r="H792" s="3" t="s">
        <v>2338</v>
      </c>
      <c r="I792" s="3" t="s">
        <v>2605</v>
      </c>
      <c r="M792" s="8" t="n">
        <v>259750</v>
      </c>
      <c r="P792" s="9" t="n">
        <v>45</v>
      </c>
      <c r="Q792" s="9" t="n">
        <v>4.7</v>
      </c>
      <c r="R792" s="9" t="n">
        <v>1</v>
      </c>
      <c r="S792" s="8" t="n">
        <v>858727</v>
      </c>
      <c r="T792" s="10" t="n">
        <v>23.7</v>
      </c>
      <c r="U792" s="9" t="n">
        <v>2</v>
      </c>
      <c r="V792" s="3" t="s">
        <v>83</v>
      </c>
      <c r="W792" s="9" t="n">
        <v>0.75</v>
      </c>
      <c r="Z792" s="3" t="s">
        <v>1578</v>
      </c>
      <c r="AA792" s="3" t="s">
        <v>2577</v>
      </c>
      <c r="AB792" s="11" t="n">
        <v>46127</v>
      </c>
    </row>
    <row r="793" customFormat="false" ht="15" hidden="false" customHeight="false" outlineLevel="0" collapsed="false">
      <c r="A793" s="3" t="s">
        <v>2606</v>
      </c>
      <c r="B793" s="3" t="s">
        <v>378</v>
      </c>
      <c r="C793" s="3" t="s">
        <v>2382</v>
      </c>
      <c r="D793" s="3" t="s">
        <v>379</v>
      </c>
      <c r="E793" s="3" t="s">
        <v>1617</v>
      </c>
      <c r="F793" s="3" t="s">
        <v>2336</v>
      </c>
      <c r="G793" s="3" t="s">
        <v>2337</v>
      </c>
      <c r="H793" s="3" t="s">
        <v>2338</v>
      </c>
      <c r="I793" s="3" t="s">
        <v>2607</v>
      </c>
      <c r="M793" s="8" t="n">
        <v>564789</v>
      </c>
      <c r="P793" s="9" t="n">
        <v>75</v>
      </c>
      <c r="Q793" s="9" t="n">
        <v>12.4</v>
      </c>
      <c r="R793" s="9" t="n">
        <v>1</v>
      </c>
      <c r="S793" s="8" t="n">
        <v>158417</v>
      </c>
      <c r="T793" s="10" t="n">
        <v>84.4</v>
      </c>
      <c r="U793" s="9" t="n">
        <v>2</v>
      </c>
      <c r="V793" s="3" t="s">
        <v>62</v>
      </c>
      <c r="W793" s="9" t="n">
        <v>0.75</v>
      </c>
      <c r="Z793" s="3" t="s">
        <v>1578</v>
      </c>
      <c r="AA793" s="3" t="s">
        <v>2577</v>
      </c>
      <c r="AB793" s="11" t="n">
        <v>46127</v>
      </c>
    </row>
    <row r="794" customFormat="false" ht="15" hidden="false" customHeight="false" outlineLevel="0" collapsed="false">
      <c r="A794" s="3" t="s">
        <v>2608</v>
      </c>
      <c r="B794" s="3" t="s">
        <v>378</v>
      </c>
      <c r="C794" s="3" t="s">
        <v>2386</v>
      </c>
      <c r="D794" s="3" t="s">
        <v>391</v>
      </c>
      <c r="E794" s="3" t="s">
        <v>2609</v>
      </c>
      <c r="F794" s="3" t="s">
        <v>2336</v>
      </c>
      <c r="G794" s="3" t="s">
        <v>2337</v>
      </c>
      <c r="H794" s="3" t="s">
        <v>2338</v>
      </c>
      <c r="I794" s="3" t="s">
        <v>2610</v>
      </c>
      <c r="M794" s="8" t="n">
        <v>753409</v>
      </c>
      <c r="P794" s="9" t="n">
        <v>66</v>
      </c>
      <c r="Q794" s="9" t="n">
        <v>5.6</v>
      </c>
      <c r="R794" s="9" t="n">
        <v>1</v>
      </c>
      <c r="S794" s="8" t="n">
        <v>707345</v>
      </c>
      <c r="T794" s="10" t="n">
        <v>23.6</v>
      </c>
      <c r="U794" s="9" t="n">
        <v>9</v>
      </c>
      <c r="V794" s="3" t="s">
        <v>92</v>
      </c>
      <c r="W794" s="9" t="n">
        <v>0.75</v>
      </c>
      <c r="Z794" s="3" t="s">
        <v>1578</v>
      </c>
      <c r="AA794" s="3" t="s">
        <v>2577</v>
      </c>
      <c r="AB794" s="11" t="n">
        <v>46127</v>
      </c>
    </row>
    <row r="795" customFormat="false" ht="15" hidden="false" customHeight="false" outlineLevel="0" collapsed="false">
      <c r="A795" s="3" t="s">
        <v>2611</v>
      </c>
      <c r="B795" s="3" t="s">
        <v>378</v>
      </c>
      <c r="C795" s="3" t="s">
        <v>2390</v>
      </c>
      <c r="D795" s="3" t="s">
        <v>391</v>
      </c>
      <c r="E795" s="3" t="s">
        <v>2100</v>
      </c>
      <c r="F795" s="3" t="s">
        <v>2336</v>
      </c>
      <c r="G795" s="3" t="s">
        <v>2337</v>
      </c>
      <c r="H795" s="3" t="s">
        <v>2338</v>
      </c>
      <c r="I795" s="3" t="s">
        <v>2612</v>
      </c>
      <c r="M795" s="8" t="n">
        <v>225086</v>
      </c>
      <c r="P795" s="9" t="n">
        <v>54</v>
      </c>
      <c r="Q795" s="9" t="n">
        <v>6.4</v>
      </c>
      <c r="R795" s="9" t="n">
        <v>1</v>
      </c>
      <c r="S795" s="8" t="n">
        <v>338303</v>
      </c>
      <c r="T795" s="10" t="n">
        <v>26.3</v>
      </c>
      <c r="U795" s="9" t="n">
        <v>4</v>
      </c>
      <c r="V795" s="3" t="s">
        <v>92</v>
      </c>
      <c r="W795" s="9" t="n">
        <v>0.75</v>
      </c>
      <c r="Z795" s="3" t="s">
        <v>1578</v>
      </c>
      <c r="AA795" s="3" t="s">
        <v>2577</v>
      </c>
      <c r="AB795" s="11" t="n">
        <v>46127</v>
      </c>
    </row>
    <row r="796" customFormat="false" ht="15" hidden="false" customHeight="false" outlineLevel="0" collapsed="false">
      <c r="A796" s="3" t="s">
        <v>2613</v>
      </c>
      <c r="B796" s="3" t="s">
        <v>378</v>
      </c>
      <c r="C796" s="3" t="s">
        <v>2394</v>
      </c>
      <c r="D796" s="3" t="s">
        <v>384</v>
      </c>
      <c r="E796" s="3" t="s">
        <v>2614</v>
      </c>
      <c r="F796" s="3" t="s">
        <v>2336</v>
      </c>
      <c r="G796" s="3" t="s">
        <v>2337</v>
      </c>
      <c r="H796" s="3" t="s">
        <v>2338</v>
      </c>
      <c r="I796" s="3" t="s">
        <v>2615</v>
      </c>
      <c r="M796" s="8" t="n">
        <v>233370</v>
      </c>
      <c r="P796" s="9" t="n">
        <v>55</v>
      </c>
      <c r="Q796" s="9" t="n">
        <v>6.2</v>
      </c>
      <c r="R796" s="9" t="n">
        <v>1</v>
      </c>
      <c r="S796" s="8" t="n">
        <v>229159</v>
      </c>
      <c r="T796" s="10" t="n">
        <v>56</v>
      </c>
      <c r="U796" s="9" t="n">
        <v>5</v>
      </c>
      <c r="V796" s="3" t="s">
        <v>83</v>
      </c>
      <c r="W796" s="9" t="n">
        <v>0.75</v>
      </c>
      <c r="Z796" s="3" t="s">
        <v>1578</v>
      </c>
      <c r="AA796" s="3" t="s">
        <v>2577</v>
      </c>
      <c r="AB796" s="11" t="n">
        <v>46127</v>
      </c>
    </row>
    <row r="797" customFormat="false" ht="15" hidden="false" customHeight="false" outlineLevel="0" collapsed="false">
      <c r="A797" s="3" t="s">
        <v>2616</v>
      </c>
      <c r="B797" s="3" t="s">
        <v>378</v>
      </c>
      <c r="C797" s="3" t="s">
        <v>2398</v>
      </c>
      <c r="D797" s="3" t="s">
        <v>391</v>
      </c>
      <c r="E797" s="3" t="s">
        <v>2601</v>
      </c>
      <c r="F797" s="3" t="s">
        <v>2336</v>
      </c>
      <c r="G797" s="3" t="s">
        <v>2337</v>
      </c>
      <c r="H797" s="3" t="s">
        <v>2338</v>
      </c>
      <c r="I797" s="3" t="s">
        <v>2617</v>
      </c>
      <c r="M797" s="8" t="n">
        <v>766361</v>
      </c>
      <c r="P797" s="9" t="n">
        <v>44</v>
      </c>
      <c r="Q797" s="9" t="n">
        <v>18.4</v>
      </c>
      <c r="R797" s="9" t="n">
        <v>1</v>
      </c>
      <c r="S797" s="8" t="n">
        <v>166943</v>
      </c>
      <c r="T797" s="10" t="n">
        <v>87</v>
      </c>
      <c r="U797" s="9" t="n">
        <v>5</v>
      </c>
      <c r="V797" s="3" t="s">
        <v>62</v>
      </c>
      <c r="W797" s="9" t="n">
        <v>0.75</v>
      </c>
      <c r="Z797" s="3" t="s">
        <v>1578</v>
      </c>
      <c r="AA797" s="3" t="s">
        <v>2577</v>
      </c>
      <c r="AB797" s="11" t="n">
        <v>46127</v>
      </c>
    </row>
    <row r="798" customFormat="false" ht="15" hidden="false" customHeight="false" outlineLevel="0" collapsed="false">
      <c r="A798" s="3" t="s">
        <v>2618</v>
      </c>
      <c r="B798" s="3" t="s">
        <v>378</v>
      </c>
      <c r="C798" s="3" t="s">
        <v>2402</v>
      </c>
      <c r="D798" s="3" t="s">
        <v>379</v>
      </c>
      <c r="E798" s="3" t="s">
        <v>2619</v>
      </c>
      <c r="F798" s="3" t="s">
        <v>2336</v>
      </c>
      <c r="G798" s="3" t="s">
        <v>2337</v>
      </c>
      <c r="H798" s="3" t="s">
        <v>2338</v>
      </c>
      <c r="I798" s="3" t="s">
        <v>2620</v>
      </c>
      <c r="M798" s="8" t="n">
        <v>370543</v>
      </c>
      <c r="P798" s="9" t="n">
        <v>50</v>
      </c>
      <c r="Q798" s="9" t="n">
        <v>22.6</v>
      </c>
      <c r="R798" s="9" t="n">
        <v>1</v>
      </c>
      <c r="S798" s="8" t="n">
        <v>404712</v>
      </c>
      <c r="T798" s="10" t="n">
        <v>68.1</v>
      </c>
      <c r="U798" s="9" t="n">
        <v>10</v>
      </c>
      <c r="V798" s="3" t="s">
        <v>62</v>
      </c>
      <c r="W798" s="9" t="n">
        <v>0.75</v>
      </c>
      <c r="Z798" s="3" t="s">
        <v>1578</v>
      </c>
      <c r="AA798" s="3" t="s">
        <v>2577</v>
      </c>
      <c r="AB798" s="11" t="n">
        <v>46127</v>
      </c>
    </row>
    <row r="799" customFormat="false" ht="15" hidden="false" customHeight="false" outlineLevel="0" collapsed="false">
      <c r="A799" s="3" t="s">
        <v>2621</v>
      </c>
      <c r="B799" s="3" t="s">
        <v>378</v>
      </c>
      <c r="C799" s="3" t="s">
        <v>2405</v>
      </c>
      <c r="D799" s="3" t="s">
        <v>384</v>
      </c>
      <c r="E799" s="3" t="s">
        <v>2622</v>
      </c>
      <c r="F799" s="3" t="s">
        <v>2336</v>
      </c>
      <c r="G799" s="3" t="s">
        <v>2337</v>
      </c>
      <c r="H799" s="3" t="s">
        <v>2338</v>
      </c>
      <c r="I799" s="3" t="s">
        <v>2623</v>
      </c>
      <c r="M799" s="8" t="n">
        <v>337977</v>
      </c>
      <c r="P799" s="9" t="n">
        <v>75</v>
      </c>
      <c r="Q799" s="9" t="n">
        <v>20</v>
      </c>
      <c r="R799" s="9" t="n">
        <v>1</v>
      </c>
      <c r="S799" s="8" t="n">
        <v>1566603</v>
      </c>
      <c r="T799" s="10" t="n">
        <v>50.8</v>
      </c>
      <c r="U799" s="9" t="n">
        <v>7</v>
      </c>
      <c r="V799" s="3" t="s">
        <v>62</v>
      </c>
      <c r="W799" s="9" t="n">
        <v>0.75</v>
      </c>
      <c r="Z799" s="3" t="s">
        <v>1578</v>
      </c>
      <c r="AA799" s="3" t="s">
        <v>2577</v>
      </c>
      <c r="AB799" s="11" t="n">
        <v>46127</v>
      </c>
    </row>
    <row r="800" customFormat="false" ht="15" hidden="false" customHeight="false" outlineLevel="0" collapsed="false">
      <c r="A800" s="3" t="s">
        <v>2624</v>
      </c>
      <c r="B800" s="3" t="s">
        <v>378</v>
      </c>
      <c r="C800" s="3" t="s">
        <v>2409</v>
      </c>
      <c r="D800" s="3" t="s">
        <v>384</v>
      </c>
      <c r="E800" s="3" t="s">
        <v>2625</v>
      </c>
      <c r="F800" s="3" t="s">
        <v>2336</v>
      </c>
      <c r="G800" s="3" t="s">
        <v>2337</v>
      </c>
      <c r="H800" s="3" t="s">
        <v>2338</v>
      </c>
      <c r="I800" s="3" t="s">
        <v>2626</v>
      </c>
      <c r="M800" s="8" t="n">
        <v>178914</v>
      </c>
      <c r="P800" s="9" t="n">
        <v>53</v>
      </c>
      <c r="Q800" s="9" t="n">
        <v>13.5</v>
      </c>
      <c r="R800" s="9" t="n">
        <v>1</v>
      </c>
      <c r="S800" s="8" t="n">
        <v>793457</v>
      </c>
      <c r="T800" s="10" t="n">
        <v>34.9</v>
      </c>
      <c r="U800" s="9" t="n">
        <v>6</v>
      </c>
      <c r="V800" s="3" t="s">
        <v>83</v>
      </c>
      <c r="W800" s="9" t="n">
        <v>0.75</v>
      </c>
      <c r="Z800" s="3" t="s">
        <v>1578</v>
      </c>
      <c r="AA800" s="3" t="s">
        <v>2577</v>
      </c>
      <c r="AB800" s="11" t="n">
        <v>46127</v>
      </c>
    </row>
    <row r="801" customFormat="false" ht="15" hidden="false" customHeight="false" outlineLevel="0" collapsed="false">
      <c r="A801" s="3" t="s">
        <v>2627</v>
      </c>
      <c r="B801" s="3" t="s">
        <v>378</v>
      </c>
      <c r="C801" s="3" t="s">
        <v>2413</v>
      </c>
      <c r="D801" s="3" t="s">
        <v>391</v>
      </c>
      <c r="E801" s="3" t="s">
        <v>2628</v>
      </c>
      <c r="F801" s="3" t="s">
        <v>2336</v>
      </c>
      <c r="G801" s="3" t="s">
        <v>2337</v>
      </c>
      <c r="H801" s="3" t="s">
        <v>2338</v>
      </c>
      <c r="I801" s="3" t="s">
        <v>2629</v>
      </c>
      <c r="M801" s="8" t="n">
        <v>1270949</v>
      </c>
      <c r="P801" s="9" t="n">
        <v>61</v>
      </c>
      <c r="Q801" s="9" t="n">
        <v>9</v>
      </c>
      <c r="R801" s="9" t="n">
        <v>1</v>
      </c>
      <c r="S801" s="8" t="n">
        <v>475390</v>
      </c>
      <c r="T801" s="10" t="n">
        <v>94.8</v>
      </c>
      <c r="U801" s="9" t="n">
        <v>9</v>
      </c>
      <c r="V801" s="3" t="s">
        <v>83</v>
      </c>
      <c r="W801" s="9" t="n">
        <v>0.75</v>
      </c>
      <c r="Z801" s="3" t="s">
        <v>1578</v>
      </c>
      <c r="AA801" s="3" t="s">
        <v>2577</v>
      </c>
      <c r="AB801" s="11" t="n">
        <v>46127</v>
      </c>
    </row>
    <row r="802" customFormat="false" ht="15" hidden="false" customHeight="false" outlineLevel="0" collapsed="false">
      <c r="A802" s="3" t="s">
        <v>2630</v>
      </c>
      <c r="B802" s="3" t="s">
        <v>378</v>
      </c>
      <c r="C802" s="3" t="s">
        <v>2417</v>
      </c>
      <c r="D802" s="3" t="s">
        <v>384</v>
      </c>
      <c r="E802" s="3" t="s">
        <v>2631</v>
      </c>
      <c r="F802" s="3" t="s">
        <v>2336</v>
      </c>
      <c r="G802" s="3" t="s">
        <v>2337</v>
      </c>
      <c r="H802" s="3" t="s">
        <v>2338</v>
      </c>
      <c r="I802" s="3" t="s">
        <v>2632</v>
      </c>
      <c r="M802" s="8" t="n">
        <v>445938</v>
      </c>
      <c r="P802" s="9" t="n">
        <v>65</v>
      </c>
      <c r="Q802" s="9" t="n">
        <v>11.2</v>
      </c>
      <c r="R802" s="9" t="n">
        <v>1</v>
      </c>
      <c r="S802" s="8" t="n">
        <v>1176212</v>
      </c>
      <c r="T802" s="10" t="n">
        <v>43.3</v>
      </c>
      <c r="U802" s="9" t="n">
        <v>5</v>
      </c>
      <c r="V802" s="3" t="s">
        <v>62</v>
      </c>
      <c r="W802" s="9" t="n">
        <v>0.75</v>
      </c>
      <c r="Z802" s="3" t="s">
        <v>1578</v>
      </c>
      <c r="AA802" s="3" t="s">
        <v>2577</v>
      </c>
      <c r="AB802" s="11" t="n">
        <v>46127</v>
      </c>
    </row>
    <row r="803" customFormat="false" ht="15" hidden="false" customHeight="false" outlineLevel="0" collapsed="false">
      <c r="A803" s="3" t="s">
        <v>2633</v>
      </c>
      <c r="B803" s="3" t="s">
        <v>378</v>
      </c>
      <c r="C803" s="3" t="s">
        <v>2421</v>
      </c>
      <c r="D803" s="3" t="s">
        <v>391</v>
      </c>
      <c r="E803" s="3" t="s">
        <v>2634</v>
      </c>
      <c r="F803" s="3" t="s">
        <v>2336</v>
      </c>
      <c r="G803" s="3" t="s">
        <v>2337</v>
      </c>
      <c r="H803" s="3" t="s">
        <v>2338</v>
      </c>
      <c r="I803" s="3" t="s">
        <v>2635</v>
      </c>
      <c r="M803" s="8" t="n">
        <v>688097</v>
      </c>
      <c r="P803" s="9" t="n">
        <v>43</v>
      </c>
      <c r="Q803" s="9" t="n">
        <v>9.4</v>
      </c>
      <c r="R803" s="9" t="n">
        <v>2</v>
      </c>
      <c r="S803" s="8" t="n">
        <v>781696</v>
      </c>
      <c r="T803" s="10" t="n">
        <v>15.5</v>
      </c>
      <c r="U803" s="9" t="n">
        <v>3</v>
      </c>
      <c r="V803" s="3" t="s">
        <v>62</v>
      </c>
      <c r="W803" s="9" t="n">
        <v>0.75</v>
      </c>
      <c r="Z803" s="3" t="s">
        <v>1578</v>
      </c>
      <c r="AA803" s="3" t="s">
        <v>2577</v>
      </c>
      <c r="AB803" s="11" t="n">
        <v>46127</v>
      </c>
    </row>
    <row r="804" customFormat="false" ht="15" hidden="false" customHeight="false" outlineLevel="0" collapsed="false">
      <c r="A804" s="3" t="s">
        <v>2636</v>
      </c>
      <c r="B804" s="3" t="s">
        <v>378</v>
      </c>
      <c r="C804" s="3" t="s">
        <v>2424</v>
      </c>
      <c r="D804" s="3" t="s">
        <v>384</v>
      </c>
      <c r="E804" s="3" t="s">
        <v>2637</v>
      </c>
      <c r="F804" s="3" t="s">
        <v>2336</v>
      </c>
      <c r="G804" s="3" t="s">
        <v>2337</v>
      </c>
      <c r="H804" s="3" t="s">
        <v>2338</v>
      </c>
      <c r="I804" s="3" t="s">
        <v>2638</v>
      </c>
      <c r="M804" s="8" t="n">
        <v>481735</v>
      </c>
      <c r="P804" s="9" t="n">
        <v>35</v>
      </c>
      <c r="Q804" s="9" t="n">
        <v>17.9</v>
      </c>
      <c r="R804" s="9" t="n">
        <v>1</v>
      </c>
      <c r="S804" s="8" t="n">
        <v>734738</v>
      </c>
      <c r="T804" s="10" t="n">
        <v>29</v>
      </c>
      <c r="U804" s="9" t="n">
        <v>8</v>
      </c>
      <c r="V804" s="3" t="s">
        <v>55</v>
      </c>
      <c r="W804" s="9" t="n">
        <v>0.75</v>
      </c>
      <c r="Z804" s="3" t="s">
        <v>1578</v>
      </c>
      <c r="AA804" s="3" t="s">
        <v>2577</v>
      </c>
      <c r="AB804" s="11" t="n">
        <v>46127</v>
      </c>
    </row>
    <row r="805" customFormat="false" ht="15" hidden="false" customHeight="false" outlineLevel="0" collapsed="false">
      <c r="A805" s="3" t="s">
        <v>2639</v>
      </c>
      <c r="B805" s="3" t="s">
        <v>378</v>
      </c>
      <c r="C805" s="3" t="s">
        <v>2428</v>
      </c>
      <c r="D805" s="3" t="s">
        <v>391</v>
      </c>
      <c r="E805" s="3" t="s">
        <v>2640</v>
      </c>
      <c r="F805" s="3" t="s">
        <v>2336</v>
      </c>
      <c r="G805" s="3" t="s">
        <v>2337</v>
      </c>
      <c r="H805" s="3" t="s">
        <v>2338</v>
      </c>
      <c r="I805" s="3" t="s">
        <v>2641</v>
      </c>
      <c r="M805" s="8" t="n">
        <v>251219</v>
      </c>
      <c r="P805" s="9" t="n">
        <v>55</v>
      </c>
      <c r="Q805" s="9" t="n">
        <v>10.7</v>
      </c>
      <c r="R805" s="9" t="n">
        <v>1</v>
      </c>
      <c r="S805" s="8" t="n">
        <v>629494</v>
      </c>
      <c r="T805" s="10" t="n">
        <v>93.3</v>
      </c>
      <c r="U805" s="9" t="n">
        <v>2</v>
      </c>
      <c r="V805" s="3" t="s">
        <v>62</v>
      </c>
      <c r="W805" s="9" t="n">
        <v>0.75</v>
      </c>
      <c r="Z805" s="3" t="s">
        <v>1578</v>
      </c>
      <c r="AA805" s="3" t="s">
        <v>2577</v>
      </c>
      <c r="AB805" s="11" t="n">
        <v>46127</v>
      </c>
    </row>
    <row r="806" customFormat="false" ht="15" hidden="false" customHeight="false" outlineLevel="0" collapsed="false">
      <c r="A806" s="3" t="s">
        <v>2642</v>
      </c>
      <c r="B806" s="3" t="s">
        <v>378</v>
      </c>
      <c r="C806" s="3" t="s">
        <v>2432</v>
      </c>
      <c r="D806" s="3" t="s">
        <v>384</v>
      </c>
      <c r="E806" s="3" t="s">
        <v>2643</v>
      </c>
      <c r="F806" s="3" t="s">
        <v>2336</v>
      </c>
      <c r="G806" s="3" t="s">
        <v>2337</v>
      </c>
      <c r="H806" s="3" t="s">
        <v>2338</v>
      </c>
      <c r="I806" s="3" t="s">
        <v>2644</v>
      </c>
      <c r="M806" s="8" t="n">
        <v>809449</v>
      </c>
      <c r="P806" s="9" t="n">
        <v>37</v>
      </c>
      <c r="Q806" s="9" t="n">
        <v>26.1</v>
      </c>
      <c r="R806" s="9" t="n">
        <v>1</v>
      </c>
      <c r="S806" s="8" t="n">
        <v>197539</v>
      </c>
      <c r="T806" s="10" t="n">
        <v>63.1</v>
      </c>
      <c r="U806" s="9" t="n">
        <v>2</v>
      </c>
      <c r="V806" s="3" t="s">
        <v>83</v>
      </c>
      <c r="W806" s="9" t="n">
        <v>0.75</v>
      </c>
      <c r="Z806" s="3" t="s">
        <v>1578</v>
      </c>
      <c r="AA806" s="3" t="s">
        <v>2577</v>
      </c>
      <c r="AB806" s="11" t="n">
        <v>46127</v>
      </c>
    </row>
    <row r="807" customFormat="false" ht="15" hidden="false" customHeight="false" outlineLevel="0" collapsed="false">
      <c r="A807" s="3" t="s">
        <v>2645</v>
      </c>
      <c r="B807" s="3" t="s">
        <v>378</v>
      </c>
      <c r="C807" s="3" t="s">
        <v>2436</v>
      </c>
      <c r="D807" s="3" t="s">
        <v>379</v>
      </c>
      <c r="E807" s="3" t="s">
        <v>2646</v>
      </c>
      <c r="F807" s="3" t="s">
        <v>2336</v>
      </c>
      <c r="G807" s="3" t="s">
        <v>2337</v>
      </c>
      <c r="H807" s="3" t="s">
        <v>2338</v>
      </c>
      <c r="I807" s="3" t="s">
        <v>2647</v>
      </c>
      <c r="M807" s="8" t="n">
        <v>147729</v>
      </c>
      <c r="P807" s="9" t="n">
        <v>51</v>
      </c>
      <c r="Q807" s="9" t="n">
        <v>11.9</v>
      </c>
      <c r="R807" s="9" t="n">
        <v>1</v>
      </c>
      <c r="S807" s="8" t="n">
        <v>731214</v>
      </c>
      <c r="T807" s="10" t="n">
        <v>17.6</v>
      </c>
      <c r="U807" s="9" t="n">
        <v>3</v>
      </c>
      <c r="V807" s="3" t="s">
        <v>62</v>
      </c>
      <c r="W807" s="9" t="n">
        <v>0.75</v>
      </c>
      <c r="Z807" s="3" t="s">
        <v>1578</v>
      </c>
      <c r="AA807" s="3" t="s">
        <v>2577</v>
      </c>
      <c r="AB807" s="11" t="n">
        <v>46127</v>
      </c>
    </row>
    <row r="808" customFormat="false" ht="15" hidden="false" customHeight="false" outlineLevel="0" collapsed="false">
      <c r="A808" s="3" t="s">
        <v>2648</v>
      </c>
      <c r="B808" s="3" t="s">
        <v>378</v>
      </c>
      <c r="C808" s="3" t="s">
        <v>2440</v>
      </c>
      <c r="D808" s="3" t="s">
        <v>379</v>
      </c>
      <c r="E808" s="3" t="s">
        <v>2649</v>
      </c>
      <c r="F808" s="3" t="s">
        <v>2336</v>
      </c>
      <c r="G808" s="3" t="s">
        <v>2337</v>
      </c>
      <c r="H808" s="3" t="s">
        <v>2338</v>
      </c>
      <c r="I808" s="3" t="s">
        <v>2650</v>
      </c>
      <c r="M808" s="8" t="n">
        <v>530669</v>
      </c>
      <c r="P808" s="9" t="n">
        <v>73</v>
      </c>
      <c r="Q808" s="9" t="n">
        <v>25.2</v>
      </c>
      <c r="R808" s="9" t="n">
        <v>3</v>
      </c>
      <c r="S808" s="8" t="n">
        <v>30419</v>
      </c>
      <c r="T808" s="10" t="n">
        <v>17.5</v>
      </c>
      <c r="U808" s="9" t="n">
        <v>9</v>
      </c>
      <c r="V808" s="3" t="s">
        <v>55</v>
      </c>
      <c r="W808" s="9" t="n">
        <v>0.75</v>
      </c>
      <c r="Z808" s="3" t="s">
        <v>1578</v>
      </c>
      <c r="AA808" s="3" t="s">
        <v>2577</v>
      </c>
      <c r="AB808" s="11" t="n">
        <v>46127</v>
      </c>
    </row>
    <row r="809" customFormat="false" ht="15" hidden="false" customHeight="false" outlineLevel="0" collapsed="false">
      <c r="A809" s="3" t="s">
        <v>2651</v>
      </c>
      <c r="B809" s="3" t="s">
        <v>378</v>
      </c>
      <c r="C809" s="3" t="s">
        <v>2444</v>
      </c>
      <c r="D809" s="3" t="s">
        <v>379</v>
      </c>
      <c r="E809" s="3" t="s">
        <v>2652</v>
      </c>
      <c r="F809" s="3" t="s">
        <v>2336</v>
      </c>
      <c r="G809" s="3" t="s">
        <v>2337</v>
      </c>
      <c r="H809" s="3" t="s">
        <v>2338</v>
      </c>
      <c r="I809" s="3" t="s">
        <v>2653</v>
      </c>
      <c r="M809" s="8" t="n">
        <v>141007</v>
      </c>
      <c r="P809" s="9" t="n">
        <v>71</v>
      </c>
      <c r="Q809" s="9" t="n">
        <v>29.5</v>
      </c>
      <c r="R809" s="9" t="n">
        <v>1</v>
      </c>
      <c r="S809" s="8" t="n">
        <v>356297</v>
      </c>
      <c r="T809" s="10" t="n">
        <v>39.2</v>
      </c>
      <c r="U809" s="9" t="n">
        <v>1</v>
      </c>
      <c r="V809" s="3" t="s">
        <v>55</v>
      </c>
      <c r="W809" s="9" t="n">
        <v>0.75</v>
      </c>
      <c r="Z809" s="3" t="s">
        <v>1578</v>
      </c>
      <c r="AA809" s="3" t="s">
        <v>2577</v>
      </c>
      <c r="AB809" s="11" t="n">
        <v>46127</v>
      </c>
    </row>
    <row r="810" customFormat="false" ht="15" hidden="false" customHeight="false" outlineLevel="0" collapsed="false">
      <c r="A810" s="3" t="s">
        <v>2654</v>
      </c>
      <c r="B810" s="3" t="s">
        <v>378</v>
      </c>
      <c r="C810" s="3" t="s">
        <v>2448</v>
      </c>
      <c r="D810" s="3" t="s">
        <v>379</v>
      </c>
      <c r="E810" s="3" t="s">
        <v>2655</v>
      </c>
      <c r="F810" s="3" t="s">
        <v>2336</v>
      </c>
      <c r="G810" s="3" t="s">
        <v>2337</v>
      </c>
      <c r="H810" s="3" t="s">
        <v>2338</v>
      </c>
      <c r="I810" s="3" t="s">
        <v>2656</v>
      </c>
      <c r="M810" s="8" t="n">
        <v>110972</v>
      </c>
      <c r="P810" s="9" t="n">
        <v>77</v>
      </c>
      <c r="Q810" s="9" t="n">
        <v>21.6</v>
      </c>
      <c r="R810" s="9" t="n">
        <v>1</v>
      </c>
      <c r="S810" s="8" t="n">
        <v>732464</v>
      </c>
      <c r="T810" s="10" t="n">
        <v>23.2</v>
      </c>
      <c r="U810" s="9" t="n">
        <v>10</v>
      </c>
      <c r="V810" s="3" t="s">
        <v>62</v>
      </c>
      <c r="W810" s="9" t="n">
        <v>0.75</v>
      </c>
      <c r="Z810" s="3" t="s">
        <v>1578</v>
      </c>
      <c r="AA810" s="3" t="s">
        <v>2577</v>
      </c>
      <c r="AB810" s="11" t="n">
        <v>46127</v>
      </c>
    </row>
    <row r="811" customFormat="false" ht="15" hidden="false" customHeight="false" outlineLevel="0" collapsed="false">
      <c r="A811" s="3" t="s">
        <v>2657</v>
      </c>
      <c r="B811" s="3" t="s">
        <v>378</v>
      </c>
      <c r="C811" s="3" t="s">
        <v>2452</v>
      </c>
      <c r="D811" s="3" t="s">
        <v>379</v>
      </c>
      <c r="E811" s="3" t="s">
        <v>187</v>
      </c>
      <c r="F811" s="3" t="s">
        <v>2336</v>
      </c>
      <c r="G811" s="3" t="s">
        <v>2337</v>
      </c>
      <c r="H811" s="3" t="s">
        <v>2338</v>
      </c>
      <c r="I811" s="3" t="s">
        <v>2658</v>
      </c>
      <c r="M811" s="8" t="n">
        <v>775006</v>
      </c>
      <c r="P811" s="9" t="n">
        <v>48</v>
      </c>
      <c r="Q811" s="9" t="n">
        <v>11.8</v>
      </c>
      <c r="R811" s="9" t="n">
        <v>1</v>
      </c>
      <c r="S811" s="8" t="n">
        <v>154541</v>
      </c>
      <c r="T811" s="10" t="n">
        <v>38.8</v>
      </c>
      <c r="U811" s="9" t="n">
        <v>1</v>
      </c>
      <c r="V811" s="3" t="s">
        <v>92</v>
      </c>
      <c r="W811" s="9" t="n">
        <v>0.75</v>
      </c>
      <c r="Z811" s="3" t="s">
        <v>1578</v>
      </c>
      <c r="AA811" s="3" t="s">
        <v>2577</v>
      </c>
      <c r="AB811" s="11" t="n">
        <v>46127</v>
      </c>
    </row>
    <row r="812" customFormat="false" ht="15" hidden="false" customHeight="false" outlineLevel="0" collapsed="false">
      <c r="A812" s="3" t="s">
        <v>2659</v>
      </c>
      <c r="B812" s="3" t="s">
        <v>378</v>
      </c>
      <c r="C812" s="3" t="s">
        <v>2456</v>
      </c>
      <c r="D812" s="3" t="s">
        <v>379</v>
      </c>
      <c r="E812" s="3" t="s">
        <v>2660</v>
      </c>
      <c r="F812" s="3" t="s">
        <v>2336</v>
      </c>
      <c r="G812" s="3" t="s">
        <v>2337</v>
      </c>
      <c r="H812" s="3" t="s">
        <v>2338</v>
      </c>
      <c r="I812" s="3" t="s">
        <v>2661</v>
      </c>
      <c r="M812" s="8" t="n">
        <v>769262</v>
      </c>
      <c r="P812" s="9" t="n">
        <v>48</v>
      </c>
      <c r="Q812" s="9" t="n">
        <v>6.7</v>
      </c>
      <c r="R812" s="9" t="n">
        <v>1</v>
      </c>
      <c r="S812" s="8" t="n">
        <v>399849</v>
      </c>
      <c r="T812" s="10" t="n">
        <v>18.3</v>
      </c>
      <c r="U812" s="9" t="n">
        <v>7</v>
      </c>
      <c r="V812" s="3" t="s">
        <v>62</v>
      </c>
      <c r="W812" s="9" t="n">
        <v>0.75</v>
      </c>
      <c r="Z812" s="3" t="s">
        <v>1578</v>
      </c>
      <c r="AA812" s="3" t="s">
        <v>2577</v>
      </c>
      <c r="AB812" s="11" t="n">
        <v>46127</v>
      </c>
    </row>
    <row r="813" customFormat="false" ht="15" hidden="false" customHeight="false" outlineLevel="0" collapsed="false">
      <c r="A813" s="3" t="s">
        <v>2662</v>
      </c>
      <c r="B813" s="3" t="s">
        <v>378</v>
      </c>
      <c r="C813" s="3" t="s">
        <v>2460</v>
      </c>
      <c r="D813" s="3" t="s">
        <v>391</v>
      </c>
      <c r="E813" s="3" t="s">
        <v>2663</v>
      </c>
      <c r="F813" s="3" t="s">
        <v>2336</v>
      </c>
      <c r="G813" s="3" t="s">
        <v>2337</v>
      </c>
      <c r="H813" s="3" t="s">
        <v>2338</v>
      </c>
      <c r="I813" s="3" t="s">
        <v>2664</v>
      </c>
      <c r="M813" s="8" t="n">
        <v>201158</v>
      </c>
      <c r="P813" s="9" t="n">
        <v>37</v>
      </c>
      <c r="Q813" s="9" t="n">
        <v>5.6</v>
      </c>
      <c r="R813" s="9" t="n">
        <v>1</v>
      </c>
      <c r="S813" s="8" t="n">
        <v>195211</v>
      </c>
      <c r="T813" s="10" t="n">
        <v>85</v>
      </c>
      <c r="U813" s="9" t="n">
        <v>9</v>
      </c>
      <c r="V813" s="3" t="s">
        <v>62</v>
      </c>
      <c r="W813" s="9" t="n">
        <v>0.75</v>
      </c>
      <c r="Z813" s="3" t="s">
        <v>1578</v>
      </c>
      <c r="AA813" s="3" t="s">
        <v>2577</v>
      </c>
      <c r="AB813" s="11" t="n">
        <v>46127</v>
      </c>
    </row>
    <row r="814" customFormat="false" ht="15" hidden="false" customHeight="false" outlineLevel="0" collapsed="false">
      <c r="A814" s="3" t="s">
        <v>2665</v>
      </c>
      <c r="B814" s="3" t="s">
        <v>378</v>
      </c>
      <c r="C814" s="3" t="s">
        <v>2464</v>
      </c>
      <c r="D814" s="3" t="s">
        <v>379</v>
      </c>
      <c r="E814" s="3" t="s">
        <v>2666</v>
      </c>
      <c r="F814" s="3" t="s">
        <v>2336</v>
      </c>
      <c r="G814" s="3" t="s">
        <v>2337</v>
      </c>
      <c r="H814" s="3" t="s">
        <v>2338</v>
      </c>
      <c r="I814" s="3" t="s">
        <v>2667</v>
      </c>
      <c r="M814" s="8" t="n">
        <v>441140</v>
      </c>
      <c r="P814" s="9" t="n">
        <v>54</v>
      </c>
      <c r="Q814" s="9" t="n">
        <v>2.5</v>
      </c>
      <c r="R814" s="9" t="n">
        <v>1</v>
      </c>
      <c r="S814" s="8" t="n">
        <v>494340</v>
      </c>
      <c r="T814" s="10" t="n">
        <v>57.4</v>
      </c>
      <c r="U814" s="9" t="n">
        <v>9</v>
      </c>
      <c r="V814" s="3" t="s">
        <v>55</v>
      </c>
      <c r="W814" s="9" t="n">
        <v>0.75</v>
      </c>
      <c r="Z814" s="3" t="s">
        <v>1578</v>
      </c>
      <c r="AA814" s="3" t="s">
        <v>2577</v>
      </c>
      <c r="AB814" s="11" t="n">
        <v>46127</v>
      </c>
    </row>
    <row r="815" customFormat="false" ht="15" hidden="false" customHeight="false" outlineLevel="0" collapsed="false">
      <c r="A815" s="3" t="s">
        <v>2668</v>
      </c>
      <c r="B815" s="3" t="s">
        <v>378</v>
      </c>
      <c r="C815" s="3" t="s">
        <v>2468</v>
      </c>
      <c r="D815" s="3" t="s">
        <v>379</v>
      </c>
      <c r="E815" s="3" t="s">
        <v>2669</v>
      </c>
      <c r="F815" s="3" t="s">
        <v>2336</v>
      </c>
      <c r="G815" s="3" t="s">
        <v>2337</v>
      </c>
      <c r="H815" s="3" t="s">
        <v>2338</v>
      </c>
      <c r="I815" s="3" t="s">
        <v>2670</v>
      </c>
      <c r="M815" s="8" t="n">
        <v>716943</v>
      </c>
      <c r="P815" s="9" t="n">
        <v>43</v>
      </c>
      <c r="Q815" s="9" t="n">
        <v>14.1</v>
      </c>
      <c r="R815" s="9" t="n">
        <v>2</v>
      </c>
      <c r="S815" s="8" t="n">
        <v>1385772</v>
      </c>
      <c r="T815" s="10" t="n">
        <v>31.3</v>
      </c>
      <c r="U815" s="9" t="n">
        <v>9</v>
      </c>
      <c r="V815" s="3" t="s">
        <v>55</v>
      </c>
      <c r="W815" s="9" t="n">
        <v>0.75</v>
      </c>
      <c r="Z815" s="3" t="s">
        <v>1578</v>
      </c>
      <c r="AA815" s="3" t="s">
        <v>2577</v>
      </c>
      <c r="AB815" s="11" t="n">
        <v>46127</v>
      </c>
    </row>
    <row r="816" customFormat="false" ht="15" hidden="false" customHeight="false" outlineLevel="0" collapsed="false">
      <c r="A816" s="3" t="s">
        <v>2671</v>
      </c>
      <c r="B816" s="3" t="s">
        <v>378</v>
      </c>
      <c r="C816" s="3" t="s">
        <v>2471</v>
      </c>
      <c r="D816" s="3" t="s">
        <v>384</v>
      </c>
      <c r="E816" s="3" t="s">
        <v>2672</v>
      </c>
      <c r="F816" s="3" t="s">
        <v>2336</v>
      </c>
      <c r="G816" s="3" t="s">
        <v>2337</v>
      </c>
      <c r="H816" s="3" t="s">
        <v>2338</v>
      </c>
      <c r="I816" s="3" t="s">
        <v>2673</v>
      </c>
      <c r="M816" s="8" t="n">
        <v>210219</v>
      </c>
      <c r="P816" s="9" t="n">
        <v>71</v>
      </c>
      <c r="Q816" s="9" t="n">
        <v>22</v>
      </c>
      <c r="R816" s="9" t="n">
        <v>1</v>
      </c>
      <c r="S816" s="8" t="n">
        <v>512081</v>
      </c>
      <c r="T816" s="10" t="n">
        <v>16.4</v>
      </c>
      <c r="U816" s="9" t="n">
        <v>8</v>
      </c>
      <c r="V816" s="3" t="s">
        <v>55</v>
      </c>
      <c r="W816" s="9" t="n">
        <v>0.75</v>
      </c>
      <c r="Z816" s="3" t="s">
        <v>1578</v>
      </c>
      <c r="AA816" s="3" t="s">
        <v>2577</v>
      </c>
      <c r="AB816" s="11" t="n">
        <v>46127</v>
      </c>
    </row>
    <row r="817" customFormat="false" ht="15" hidden="false" customHeight="false" outlineLevel="0" collapsed="false">
      <c r="A817" s="3" t="s">
        <v>2674</v>
      </c>
      <c r="B817" s="3" t="s">
        <v>378</v>
      </c>
      <c r="C817" s="3" t="s">
        <v>2475</v>
      </c>
      <c r="D817" s="3" t="s">
        <v>384</v>
      </c>
      <c r="E817" s="3" t="s">
        <v>2675</v>
      </c>
      <c r="F817" s="3" t="s">
        <v>2336</v>
      </c>
      <c r="G817" s="3" t="s">
        <v>2337</v>
      </c>
      <c r="H817" s="3" t="s">
        <v>2338</v>
      </c>
      <c r="I817" s="3" t="s">
        <v>2676</v>
      </c>
      <c r="M817" s="8" t="n">
        <v>386323</v>
      </c>
      <c r="P817" s="9" t="n">
        <v>56</v>
      </c>
      <c r="Q817" s="9" t="n">
        <v>7</v>
      </c>
      <c r="R817" s="9" t="n">
        <v>1</v>
      </c>
      <c r="S817" s="8" t="n">
        <v>999241</v>
      </c>
      <c r="T817" s="10" t="n">
        <v>24.5</v>
      </c>
      <c r="U817" s="9" t="n">
        <v>7</v>
      </c>
      <c r="V817" s="3" t="s">
        <v>55</v>
      </c>
      <c r="W817" s="9" t="n">
        <v>0.75</v>
      </c>
      <c r="Z817" s="3" t="s">
        <v>1578</v>
      </c>
      <c r="AA817" s="3" t="s">
        <v>2577</v>
      </c>
      <c r="AB817" s="11" t="n">
        <v>46127</v>
      </c>
    </row>
    <row r="818" customFormat="false" ht="15" hidden="false" customHeight="false" outlineLevel="0" collapsed="false">
      <c r="A818" s="3" t="s">
        <v>2677</v>
      </c>
      <c r="B818" s="3" t="s">
        <v>378</v>
      </c>
      <c r="C818" s="3" t="s">
        <v>2479</v>
      </c>
      <c r="D818" s="3" t="s">
        <v>384</v>
      </c>
      <c r="E818" s="3" t="s">
        <v>2678</v>
      </c>
      <c r="F818" s="3" t="s">
        <v>2336</v>
      </c>
      <c r="G818" s="3" t="s">
        <v>2337</v>
      </c>
      <c r="H818" s="3" t="s">
        <v>2338</v>
      </c>
      <c r="I818" s="3" t="s">
        <v>2679</v>
      </c>
      <c r="M818" s="8" t="n">
        <v>566646</v>
      </c>
      <c r="P818" s="9" t="n">
        <v>53</v>
      </c>
      <c r="Q818" s="9" t="n">
        <v>14.2</v>
      </c>
      <c r="R818" s="9" t="n">
        <v>1</v>
      </c>
      <c r="S818" s="8" t="n">
        <v>339707</v>
      </c>
      <c r="T818" s="10" t="n">
        <v>36.3</v>
      </c>
      <c r="U818" s="9" t="n">
        <v>9</v>
      </c>
      <c r="V818" s="3" t="s">
        <v>92</v>
      </c>
      <c r="W818" s="9" t="n">
        <v>0.75</v>
      </c>
      <c r="Z818" s="3" t="s">
        <v>1578</v>
      </c>
      <c r="AA818" s="3" t="s">
        <v>2577</v>
      </c>
      <c r="AB818" s="11" t="n">
        <v>46127</v>
      </c>
    </row>
    <row r="819" customFormat="false" ht="15" hidden="false" customHeight="false" outlineLevel="0" collapsed="false">
      <c r="A819" s="3" t="s">
        <v>2680</v>
      </c>
      <c r="B819" s="3" t="s">
        <v>378</v>
      </c>
      <c r="C819" s="3" t="s">
        <v>2483</v>
      </c>
      <c r="D819" s="3" t="s">
        <v>379</v>
      </c>
      <c r="E819" s="3" t="s">
        <v>2681</v>
      </c>
      <c r="F819" s="3" t="s">
        <v>2336</v>
      </c>
      <c r="G819" s="3" t="s">
        <v>2337</v>
      </c>
      <c r="H819" s="3" t="s">
        <v>2338</v>
      </c>
      <c r="I819" s="3" t="s">
        <v>2682</v>
      </c>
      <c r="M819" s="8" t="n">
        <v>319236</v>
      </c>
      <c r="P819" s="9" t="n">
        <v>62</v>
      </c>
      <c r="Q819" s="9" t="n">
        <v>2.2</v>
      </c>
      <c r="R819" s="9" t="n">
        <v>1</v>
      </c>
      <c r="S819" s="8" t="n">
        <v>153369</v>
      </c>
      <c r="T819" s="10" t="n">
        <v>19.8</v>
      </c>
      <c r="U819" s="9" t="n">
        <v>4</v>
      </c>
      <c r="V819" s="3" t="s">
        <v>92</v>
      </c>
      <c r="W819" s="9" t="n">
        <v>0.75</v>
      </c>
      <c r="Z819" s="3" t="s">
        <v>1578</v>
      </c>
      <c r="AA819" s="3" t="s">
        <v>2577</v>
      </c>
      <c r="AB819" s="11" t="n">
        <v>46127</v>
      </c>
    </row>
    <row r="820" customFormat="false" ht="15" hidden="false" customHeight="false" outlineLevel="0" collapsed="false">
      <c r="A820" s="3" t="s">
        <v>2683</v>
      </c>
      <c r="B820" s="3" t="s">
        <v>378</v>
      </c>
      <c r="C820" s="3" t="s">
        <v>2487</v>
      </c>
      <c r="D820" s="3" t="s">
        <v>379</v>
      </c>
      <c r="E820" s="3" t="s">
        <v>2684</v>
      </c>
      <c r="F820" s="3" t="s">
        <v>2336</v>
      </c>
      <c r="G820" s="3" t="s">
        <v>2337</v>
      </c>
      <c r="H820" s="3" t="s">
        <v>2338</v>
      </c>
      <c r="I820" s="3" t="s">
        <v>2685</v>
      </c>
      <c r="M820" s="8" t="n">
        <v>405989</v>
      </c>
      <c r="P820" s="9" t="n">
        <v>74</v>
      </c>
      <c r="Q820" s="9" t="n">
        <v>22.7</v>
      </c>
      <c r="R820" s="9" t="n">
        <v>1</v>
      </c>
      <c r="S820" s="8" t="n">
        <v>266193</v>
      </c>
      <c r="T820" s="10" t="n">
        <v>38.3</v>
      </c>
      <c r="U820" s="9" t="n">
        <v>1</v>
      </c>
      <c r="V820" s="3" t="s">
        <v>83</v>
      </c>
      <c r="W820" s="9" t="n">
        <v>0.75</v>
      </c>
      <c r="Z820" s="3" t="s">
        <v>1578</v>
      </c>
      <c r="AA820" s="3" t="s">
        <v>2577</v>
      </c>
      <c r="AB820" s="11" t="n">
        <v>46127</v>
      </c>
    </row>
    <row r="821" customFormat="false" ht="15" hidden="false" customHeight="false" outlineLevel="0" collapsed="false">
      <c r="A821" s="3" t="s">
        <v>2686</v>
      </c>
      <c r="B821" s="3" t="s">
        <v>378</v>
      </c>
      <c r="C821" s="3" t="s">
        <v>2491</v>
      </c>
      <c r="D821" s="3" t="s">
        <v>384</v>
      </c>
      <c r="E821" s="3" t="s">
        <v>2687</v>
      </c>
      <c r="F821" s="3" t="s">
        <v>2336</v>
      </c>
      <c r="G821" s="3" t="s">
        <v>2337</v>
      </c>
      <c r="H821" s="3" t="s">
        <v>2338</v>
      </c>
      <c r="I821" s="3" t="s">
        <v>2688</v>
      </c>
      <c r="M821" s="8" t="n">
        <v>267148</v>
      </c>
      <c r="P821" s="9" t="n">
        <v>48</v>
      </c>
      <c r="Q821" s="9" t="n">
        <v>15</v>
      </c>
      <c r="R821" s="9" t="n">
        <v>1</v>
      </c>
      <c r="S821" s="8" t="n">
        <v>338007</v>
      </c>
      <c r="T821" s="10" t="n">
        <v>44.5</v>
      </c>
      <c r="U821" s="9" t="n">
        <v>7</v>
      </c>
      <c r="V821" s="3" t="s">
        <v>62</v>
      </c>
      <c r="W821" s="9" t="n">
        <v>0.75</v>
      </c>
      <c r="Z821" s="3" t="s">
        <v>1578</v>
      </c>
      <c r="AA821" s="3" t="s">
        <v>2577</v>
      </c>
      <c r="AB821" s="11" t="n">
        <v>46127</v>
      </c>
    </row>
    <row r="822" customFormat="false" ht="15" hidden="false" customHeight="false" outlineLevel="0" collapsed="false">
      <c r="A822" s="3" t="s">
        <v>2689</v>
      </c>
      <c r="B822" s="3" t="s">
        <v>378</v>
      </c>
      <c r="C822" s="3" t="s">
        <v>2495</v>
      </c>
      <c r="D822" s="3" t="s">
        <v>379</v>
      </c>
      <c r="E822" s="3" t="s">
        <v>2690</v>
      </c>
      <c r="F822" s="3" t="s">
        <v>2336</v>
      </c>
      <c r="G822" s="3" t="s">
        <v>2337</v>
      </c>
      <c r="H822" s="3" t="s">
        <v>2338</v>
      </c>
      <c r="I822" s="3" t="s">
        <v>2691</v>
      </c>
      <c r="M822" s="8" t="n">
        <v>163686</v>
      </c>
      <c r="P822" s="9" t="n">
        <v>41</v>
      </c>
      <c r="Q822" s="9" t="n">
        <v>17.3</v>
      </c>
      <c r="R822" s="9" t="n">
        <v>1</v>
      </c>
      <c r="S822" s="8" t="n">
        <v>269554</v>
      </c>
      <c r="T822" s="10" t="n">
        <v>38.8</v>
      </c>
      <c r="U822" s="9" t="n">
        <v>3</v>
      </c>
      <c r="V822" s="3" t="s">
        <v>83</v>
      </c>
      <c r="W822" s="9" t="n">
        <v>0.75</v>
      </c>
      <c r="Z822" s="3" t="s">
        <v>1578</v>
      </c>
      <c r="AA822" s="3" t="s">
        <v>2577</v>
      </c>
      <c r="AB822" s="11" t="n">
        <v>46127</v>
      </c>
    </row>
    <row r="823" customFormat="false" ht="15" hidden="false" customHeight="false" outlineLevel="0" collapsed="false">
      <c r="A823" s="3" t="s">
        <v>2692</v>
      </c>
      <c r="B823" s="3" t="s">
        <v>378</v>
      </c>
      <c r="C823" s="3" t="s">
        <v>2499</v>
      </c>
      <c r="D823" s="3" t="s">
        <v>379</v>
      </c>
      <c r="E823" s="3" t="s">
        <v>2693</v>
      </c>
      <c r="F823" s="3" t="s">
        <v>2336</v>
      </c>
      <c r="G823" s="3" t="s">
        <v>2337</v>
      </c>
      <c r="H823" s="3" t="s">
        <v>2338</v>
      </c>
      <c r="I823" s="3" t="s">
        <v>2694</v>
      </c>
      <c r="M823" s="8" t="n">
        <v>403290</v>
      </c>
      <c r="P823" s="9" t="n">
        <v>72</v>
      </c>
      <c r="Q823" s="9" t="n">
        <v>24.9</v>
      </c>
      <c r="R823" s="9" t="n">
        <v>3</v>
      </c>
      <c r="S823" s="8" t="n">
        <v>209508</v>
      </c>
      <c r="T823" s="10" t="n">
        <v>73.3</v>
      </c>
      <c r="U823" s="9" t="n">
        <v>6</v>
      </c>
      <c r="V823" s="3" t="s">
        <v>55</v>
      </c>
      <c r="W823" s="9" t="n">
        <v>0.75</v>
      </c>
      <c r="Z823" s="3" t="s">
        <v>1578</v>
      </c>
      <c r="AA823" s="3" t="s">
        <v>2577</v>
      </c>
      <c r="AB823" s="11" t="n">
        <v>46127</v>
      </c>
    </row>
    <row r="824" customFormat="false" ht="15" hidden="false" customHeight="false" outlineLevel="0" collapsed="false">
      <c r="A824" s="3" t="s">
        <v>2695</v>
      </c>
      <c r="B824" s="3" t="s">
        <v>378</v>
      </c>
      <c r="C824" s="3" t="s">
        <v>2503</v>
      </c>
      <c r="D824" s="3" t="s">
        <v>391</v>
      </c>
      <c r="E824" s="3" t="s">
        <v>2696</v>
      </c>
      <c r="F824" s="3" t="s">
        <v>2336</v>
      </c>
      <c r="G824" s="3" t="s">
        <v>2337</v>
      </c>
      <c r="H824" s="3" t="s">
        <v>2338</v>
      </c>
      <c r="I824" s="3" t="s">
        <v>2697</v>
      </c>
      <c r="M824" s="8" t="n">
        <v>355415</v>
      </c>
      <c r="P824" s="9" t="n">
        <v>56</v>
      </c>
      <c r="Q824" s="9" t="n">
        <v>27.5</v>
      </c>
      <c r="R824" s="9" t="n">
        <v>3</v>
      </c>
      <c r="S824" s="8" t="n">
        <v>301074</v>
      </c>
      <c r="T824" s="10" t="n">
        <v>52.5</v>
      </c>
      <c r="U824" s="9" t="n">
        <v>3</v>
      </c>
      <c r="V824" s="3" t="s">
        <v>83</v>
      </c>
      <c r="W824" s="9" t="n">
        <v>0.75</v>
      </c>
      <c r="Z824" s="3" t="s">
        <v>1578</v>
      </c>
      <c r="AA824" s="3" t="s">
        <v>2577</v>
      </c>
      <c r="AB824" s="11" t="n">
        <v>46127</v>
      </c>
    </row>
    <row r="825" customFormat="false" ht="15" hidden="false" customHeight="false" outlineLevel="0" collapsed="false">
      <c r="A825" s="3" t="s">
        <v>2698</v>
      </c>
      <c r="B825" s="3" t="s">
        <v>378</v>
      </c>
      <c r="C825" s="3" t="s">
        <v>2507</v>
      </c>
      <c r="D825" s="3" t="s">
        <v>391</v>
      </c>
      <c r="E825" s="3" t="s">
        <v>2699</v>
      </c>
      <c r="F825" s="3" t="s">
        <v>2336</v>
      </c>
      <c r="G825" s="3" t="s">
        <v>2337</v>
      </c>
      <c r="H825" s="3" t="s">
        <v>2338</v>
      </c>
      <c r="I825" s="3" t="s">
        <v>2700</v>
      </c>
      <c r="M825" s="8" t="n">
        <v>254558</v>
      </c>
      <c r="P825" s="9" t="n">
        <v>75</v>
      </c>
      <c r="Q825" s="9" t="n">
        <v>23.3</v>
      </c>
      <c r="R825" s="9" t="n">
        <v>2</v>
      </c>
      <c r="S825" s="8" t="n">
        <v>784565</v>
      </c>
      <c r="T825" s="10" t="n">
        <v>82</v>
      </c>
      <c r="U825" s="9" t="n">
        <v>9</v>
      </c>
      <c r="V825" s="3" t="s">
        <v>55</v>
      </c>
      <c r="W825" s="9" t="n">
        <v>0.75</v>
      </c>
      <c r="Z825" s="3" t="s">
        <v>1578</v>
      </c>
      <c r="AA825" s="3" t="s">
        <v>2577</v>
      </c>
      <c r="AB825" s="11" t="n">
        <v>46127</v>
      </c>
    </row>
    <row r="826" customFormat="false" ht="15" hidden="false" customHeight="false" outlineLevel="0" collapsed="false">
      <c r="A826" s="3" t="s">
        <v>2701</v>
      </c>
      <c r="B826" s="3" t="s">
        <v>378</v>
      </c>
      <c r="C826" s="3" t="s">
        <v>2511</v>
      </c>
      <c r="D826" s="3" t="s">
        <v>384</v>
      </c>
      <c r="E826" s="3" t="s">
        <v>1991</v>
      </c>
      <c r="F826" s="3" t="s">
        <v>2336</v>
      </c>
      <c r="G826" s="3" t="s">
        <v>2337</v>
      </c>
      <c r="H826" s="3" t="s">
        <v>2338</v>
      </c>
      <c r="I826" s="3" t="s">
        <v>2702</v>
      </c>
      <c r="M826" s="8" t="n">
        <v>142868</v>
      </c>
      <c r="P826" s="9" t="n">
        <v>77</v>
      </c>
      <c r="Q826" s="9" t="n">
        <v>29.8</v>
      </c>
      <c r="R826" s="9" t="n">
        <v>2</v>
      </c>
      <c r="S826" s="8" t="n">
        <v>371233</v>
      </c>
      <c r="T826" s="10" t="n">
        <v>69.7</v>
      </c>
      <c r="U826" s="9" t="n">
        <v>1</v>
      </c>
      <c r="V826" s="3" t="s">
        <v>62</v>
      </c>
      <c r="W826" s="9" t="n">
        <v>0.75</v>
      </c>
      <c r="Z826" s="3" t="s">
        <v>1578</v>
      </c>
      <c r="AA826" s="3" t="s">
        <v>2577</v>
      </c>
      <c r="AB826" s="11" t="n">
        <v>46127</v>
      </c>
    </row>
    <row r="827" customFormat="false" ht="15" hidden="false" customHeight="false" outlineLevel="0" collapsed="false">
      <c r="A827" s="3" t="s">
        <v>2703</v>
      </c>
      <c r="B827" s="3" t="s">
        <v>378</v>
      </c>
      <c r="C827" s="3" t="s">
        <v>2515</v>
      </c>
      <c r="D827" s="3" t="s">
        <v>384</v>
      </c>
      <c r="E827" s="3" t="s">
        <v>2704</v>
      </c>
      <c r="F827" s="3" t="s">
        <v>2336</v>
      </c>
      <c r="G827" s="3" t="s">
        <v>2337</v>
      </c>
      <c r="H827" s="3" t="s">
        <v>2338</v>
      </c>
      <c r="I827" s="3" t="s">
        <v>2705</v>
      </c>
      <c r="M827" s="8" t="n">
        <v>735648</v>
      </c>
      <c r="P827" s="9" t="n">
        <v>55</v>
      </c>
      <c r="Q827" s="9" t="n">
        <v>11.9</v>
      </c>
      <c r="R827" s="9" t="n">
        <v>1</v>
      </c>
      <c r="S827" s="8" t="n">
        <v>474414</v>
      </c>
      <c r="T827" s="10" t="n">
        <v>50.8</v>
      </c>
      <c r="U827" s="9" t="n">
        <v>5</v>
      </c>
      <c r="V827" s="3" t="s">
        <v>55</v>
      </c>
      <c r="W827" s="9" t="n">
        <v>0.75</v>
      </c>
      <c r="Z827" s="3" t="s">
        <v>1578</v>
      </c>
      <c r="AA827" s="3" t="s">
        <v>2577</v>
      </c>
      <c r="AB827" s="11" t="n">
        <v>46127</v>
      </c>
    </row>
    <row r="828" customFormat="false" ht="15" hidden="false" customHeight="false" outlineLevel="0" collapsed="false">
      <c r="A828" s="3" t="s">
        <v>2706</v>
      </c>
      <c r="B828" s="3" t="s">
        <v>378</v>
      </c>
      <c r="C828" s="3" t="s">
        <v>2519</v>
      </c>
      <c r="D828" s="3" t="s">
        <v>379</v>
      </c>
      <c r="E828" s="3" t="s">
        <v>2707</v>
      </c>
      <c r="F828" s="3" t="s">
        <v>2336</v>
      </c>
      <c r="G828" s="3" t="s">
        <v>2337</v>
      </c>
      <c r="H828" s="3" t="s">
        <v>2338</v>
      </c>
      <c r="I828" s="3" t="s">
        <v>444</v>
      </c>
      <c r="M828" s="8" t="n">
        <v>538849</v>
      </c>
      <c r="P828" s="9" t="n">
        <v>59</v>
      </c>
      <c r="Q828" s="9" t="n">
        <v>7.9</v>
      </c>
      <c r="R828" s="9" t="n">
        <v>1</v>
      </c>
      <c r="S828" s="8" t="n">
        <v>623830</v>
      </c>
      <c r="T828" s="10" t="n">
        <v>75.9</v>
      </c>
      <c r="U828" s="9" t="n">
        <v>2</v>
      </c>
      <c r="V828" s="3" t="s">
        <v>55</v>
      </c>
      <c r="W828" s="9" t="n">
        <v>0.75</v>
      </c>
      <c r="Z828" s="3" t="s">
        <v>1578</v>
      </c>
      <c r="AA828" s="3" t="s">
        <v>2577</v>
      </c>
      <c r="AB828" s="11" t="n">
        <v>46127</v>
      </c>
    </row>
    <row r="829" customFormat="false" ht="15" hidden="false" customHeight="false" outlineLevel="0" collapsed="false">
      <c r="A829" s="3" t="s">
        <v>2708</v>
      </c>
      <c r="B829" s="3" t="s">
        <v>378</v>
      </c>
      <c r="C829" s="3" t="s">
        <v>2523</v>
      </c>
      <c r="D829" s="3" t="s">
        <v>391</v>
      </c>
      <c r="E829" s="3" t="s">
        <v>2709</v>
      </c>
      <c r="F829" s="3" t="s">
        <v>2336</v>
      </c>
      <c r="G829" s="3" t="s">
        <v>2337</v>
      </c>
      <c r="H829" s="3" t="s">
        <v>2338</v>
      </c>
      <c r="I829" s="3" t="s">
        <v>2710</v>
      </c>
      <c r="M829" s="8" t="n">
        <v>201927</v>
      </c>
      <c r="P829" s="9" t="n">
        <v>57</v>
      </c>
      <c r="Q829" s="9" t="n">
        <v>19.1</v>
      </c>
      <c r="R829" s="9" t="n">
        <v>1</v>
      </c>
      <c r="S829" s="8" t="n">
        <v>578096</v>
      </c>
      <c r="T829" s="10" t="n">
        <v>89.2</v>
      </c>
      <c r="U829" s="9" t="n">
        <v>5</v>
      </c>
      <c r="V829" s="3" t="s">
        <v>62</v>
      </c>
      <c r="W829" s="9" t="n">
        <v>0.75</v>
      </c>
      <c r="Z829" s="3" t="s">
        <v>1578</v>
      </c>
      <c r="AA829" s="3" t="s">
        <v>2577</v>
      </c>
      <c r="AB829" s="11" t="n">
        <v>46127</v>
      </c>
    </row>
    <row r="830" customFormat="false" ht="15" hidden="false" customHeight="false" outlineLevel="0" collapsed="false">
      <c r="A830" s="3" t="s">
        <v>2711</v>
      </c>
      <c r="B830" s="3" t="s">
        <v>378</v>
      </c>
      <c r="C830" s="3" t="s">
        <v>2527</v>
      </c>
      <c r="D830" s="3" t="s">
        <v>384</v>
      </c>
      <c r="E830" s="3" t="s">
        <v>2712</v>
      </c>
      <c r="F830" s="3" t="s">
        <v>2336</v>
      </c>
      <c r="G830" s="3" t="s">
        <v>2337</v>
      </c>
      <c r="H830" s="3" t="s">
        <v>2338</v>
      </c>
      <c r="I830" s="3" t="s">
        <v>2713</v>
      </c>
      <c r="M830" s="8" t="n">
        <v>370236</v>
      </c>
      <c r="P830" s="9" t="n">
        <v>35</v>
      </c>
      <c r="Q830" s="9" t="n">
        <v>28.2</v>
      </c>
      <c r="R830" s="9" t="n">
        <v>1</v>
      </c>
      <c r="S830" s="8" t="n">
        <v>145928</v>
      </c>
      <c r="T830" s="10" t="n">
        <v>40.1</v>
      </c>
      <c r="U830" s="9" t="n">
        <v>8</v>
      </c>
      <c r="V830" s="3" t="s">
        <v>62</v>
      </c>
      <c r="W830" s="9" t="n">
        <v>0.75</v>
      </c>
      <c r="Z830" s="3" t="s">
        <v>1578</v>
      </c>
      <c r="AA830" s="3" t="s">
        <v>2577</v>
      </c>
      <c r="AB830" s="11" t="n">
        <v>46127</v>
      </c>
    </row>
    <row r="831" customFormat="false" ht="15" hidden="false" customHeight="false" outlineLevel="0" collapsed="false">
      <c r="A831" s="3" t="s">
        <v>2714</v>
      </c>
      <c r="B831" s="3" t="s">
        <v>378</v>
      </c>
      <c r="C831" s="3" t="s">
        <v>2531</v>
      </c>
      <c r="D831" s="3" t="s">
        <v>391</v>
      </c>
      <c r="E831" s="3" t="s">
        <v>2715</v>
      </c>
      <c r="F831" s="3" t="s">
        <v>2336</v>
      </c>
      <c r="G831" s="3" t="s">
        <v>2337</v>
      </c>
      <c r="H831" s="3" t="s">
        <v>2338</v>
      </c>
      <c r="I831" s="3" t="s">
        <v>2716</v>
      </c>
      <c r="M831" s="8" t="n">
        <v>656224</v>
      </c>
      <c r="P831" s="9" t="n">
        <v>48</v>
      </c>
      <c r="Q831" s="9" t="n">
        <v>23.9</v>
      </c>
      <c r="R831" s="9" t="n">
        <v>1</v>
      </c>
      <c r="S831" s="8" t="n">
        <v>409587</v>
      </c>
      <c r="T831" s="10" t="n">
        <v>93</v>
      </c>
      <c r="U831" s="9" t="n">
        <v>10</v>
      </c>
      <c r="V831" s="3" t="s">
        <v>55</v>
      </c>
      <c r="W831" s="9" t="n">
        <v>0.75</v>
      </c>
      <c r="Z831" s="3" t="s">
        <v>1578</v>
      </c>
      <c r="AA831" s="3" t="s">
        <v>2577</v>
      </c>
      <c r="AB831" s="11" t="n">
        <v>46127</v>
      </c>
    </row>
    <row r="832" customFormat="false" ht="15" hidden="false" customHeight="false" outlineLevel="0" collapsed="false">
      <c r="A832" s="3" t="s">
        <v>2717</v>
      </c>
      <c r="B832" s="3" t="s">
        <v>378</v>
      </c>
      <c r="C832" s="3" t="s">
        <v>2535</v>
      </c>
      <c r="D832" s="3" t="s">
        <v>379</v>
      </c>
      <c r="E832" s="3" t="s">
        <v>2718</v>
      </c>
      <c r="F832" s="3" t="s">
        <v>2336</v>
      </c>
      <c r="G832" s="3" t="s">
        <v>2337</v>
      </c>
      <c r="H832" s="3" t="s">
        <v>2338</v>
      </c>
      <c r="I832" s="3" t="s">
        <v>2719</v>
      </c>
      <c r="M832" s="8" t="n">
        <v>542463</v>
      </c>
      <c r="P832" s="9" t="n">
        <v>44</v>
      </c>
      <c r="Q832" s="9" t="n">
        <v>14.7</v>
      </c>
      <c r="R832" s="9" t="n">
        <v>1</v>
      </c>
      <c r="S832" s="8" t="n">
        <v>658727</v>
      </c>
      <c r="T832" s="10" t="n">
        <v>19</v>
      </c>
      <c r="U832" s="9" t="n">
        <v>2</v>
      </c>
      <c r="V832" s="3" t="s">
        <v>55</v>
      </c>
      <c r="W832" s="9" t="n">
        <v>0.75</v>
      </c>
      <c r="Z832" s="3" t="s">
        <v>1578</v>
      </c>
      <c r="AA832" s="3" t="s">
        <v>2577</v>
      </c>
      <c r="AB832" s="11" t="n">
        <v>46127</v>
      </c>
    </row>
    <row r="833" customFormat="false" ht="15" hidden="false" customHeight="false" outlineLevel="0" collapsed="false">
      <c r="A833" s="3" t="s">
        <v>2720</v>
      </c>
      <c r="B833" s="3" t="s">
        <v>378</v>
      </c>
      <c r="C833" s="3" t="s">
        <v>2539</v>
      </c>
      <c r="D833" s="3" t="s">
        <v>384</v>
      </c>
      <c r="E833" s="3" t="s">
        <v>2721</v>
      </c>
      <c r="F833" s="3" t="s">
        <v>2336</v>
      </c>
      <c r="G833" s="3" t="s">
        <v>2337</v>
      </c>
      <c r="H833" s="3" t="s">
        <v>2338</v>
      </c>
      <c r="I833" s="3" t="s">
        <v>2722</v>
      </c>
      <c r="M833" s="8" t="n">
        <v>143894</v>
      </c>
      <c r="P833" s="9" t="n">
        <v>67</v>
      </c>
      <c r="Q833" s="9" t="n">
        <v>18.6</v>
      </c>
      <c r="R833" s="9" t="n">
        <v>1</v>
      </c>
      <c r="S833" s="8" t="n">
        <v>488947</v>
      </c>
      <c r="T833" s="10" t="n">
        <v>24</v>
      </c>
      <c r="U833" s="9" t="n">
        <v>9</v>
      </c>
      <c r="V833" s="3" t="s">
        <v>62</v>
      </c>
      <c r="W833" s="9" t="n">
        <v>0.75</v>
      </c>
      <c r="Z833" s="3" t="s">
        <v>1578</v>
      </c>
      <c r="AA833" s="3" t="s">
        <v>2577</v>
      </c>
      <c r="AB833" s="11" t="n">
        <v>46127</v>
      </c>
    </row>
    <row r="834" customFormat="false" ht="15" hidden="false" customHeight="false" outlineLevel="0" collapsed="false">
      <c r="A834" s="3" t="s">
        <v>2723</v>
      </c>
      <c r="B834" s="3" t="s">
        <v>378</v>
      </c>
      <c r="C834" s="3" t="s">
        <v>2543</v>
      </c>
      <c r="D834" s="3" t="s">
        <v>384</v>
      </c>
      <c r="E834" s="3" t="s">
        <v>2724</v>
      </c>
      <c r="F834" s="3" t="s">
        <v>2336</v>
      </c>
      <c r="G834" s="3" t="s">
        <v>2337</v>
      </c>
      <c r="H834" s="3" t="s">
        <v>2338</v>
      </c>
      <c r="I834" s="3" t="s">
        <v>2725</v>
      </c>
      <c r="M834" s="8" t="n">
        <v>484929</v>
      </c>
      <c r="P834" s="9" t="n">
        <v>66</v>
      </c>
      <c r="Q834" s="9" t="n">
        <v>15.4</v>
      </c>
      <c r="R834" s="9" t="n">
        <v>1</v>
      </c>
      <c r="S834" s="8" t="n">
        <v>232953</v>
      </c>
      <c r="T834" s="10" t="n">
        <v>23.2</v>
      </c>
      <c r="U834" s="9" t="n">
        <v>4</v>
      </c>
      <c r="V834" s="3" t="s">
        <v>55</v>
      </c>
      <c r="W834" s="9" t="n">
        <v>0.75</v>
      </c>
      <c r="Z834" s="3" t="s">
        <v>1578</v>
      </c>
      <c r="AA834" s="3" t="s">
        <v>2577</v>
      </c>
      <c r="AB834" s="11" t="n">
        <v>46127</v>
      </c>
    </row>
    <row r="835" customFormat="false" ht="15" hidden="false" customHeight="false" outlineLevel="0" collapsed="false">
      <c r="A835" s="3" t="s">
        <v>2726</v>
      </c>
      <c r="B835" s="3" t="s">
        <v>378</v>
      </c>
      <c r="C835" s="3" t="s">
        <v>2547</v>
      </c>
      <c r="D835" s="3" t="s">
        <v>391</v>
      </c>
      <c r="E835" s="3" t="s">
        <v>2727</v>
      </c>
      <c r="F835" s="3" t="s">
        <v>2336</v>
      </c>
      <c r="G835" s="3" t="s">
        <v>2337</v>
      </c>
      <c r="H835" s="3" t="s">
        <v>2338</v>
      </c>
      <c r="I835" s="3" t="s">
        <v>2728</v>
      </c>
      <c r="M835" s="8" t="n">
        <v>440671</v>
      </c>
      <c r="P835" s="9" t="n">
        <v>73</v>
      </c>
      <c r="Q835" s="9" t="n">
        <v>28.2</v>
      </c>
      <c r="R835" s="9" t="n">
        <v>1</v>
      </c>
      <c r="S835" s="8" t="n">
        <v>266662</v>
      </c>
      <c r="T835" s="10" t="n">
        <v>73</v>
      </c>
      <c r="U835" s="9" t="n">
        <v>8</v>
      </c>
      <c r="V835" s="3" t="s">
        <v>83</v>
      </c>
      <c r="W835" s="9" t="n">
        <v>0.75</v>
      </c>
      <c r="Z835" s="3" t="s">
        <v>1578</v>
      </c>
      <c r="AA835" s="3" t="s">
        <v>2577</v>
      </c>
      <c r="AB835" s="11" t="n">
        <v>46127</v>
      </c>
    </row>
    <row r="836" customFormat="false" ht="15" hidden="false" customHeight="false" outlineLevel="0" collapsed="false">
      <c r="A836" s="3" t="s">
        <v>2729</v>
      </c>
      <c r="B836" s="3" t="s">
        <v>378</v>
      </c>
      <c r="C836" s="3" t="s">
        <v>2551</v>
      </c>
      <c r="D836" s="3" t="s">
        <v>379</v>
      </c>
      <c r="E836" s="3" t="s">
        <v>2730</v>
      </c>
      <c r="F836" s="3" t="s">
        <v>2336</v>
      </c>
      <c r="G836" s="3" t="s">
        <v>2337</v>
      </c>
      <c r="H836" s="3" t="s">
        <v>2338</v>
      </c>
      <c r="I836" s="3" t="s">
        <v>2731</v>
      </c>
      <c r="M836" s="8" t="n">
        <v>334998</v>
      </c>
      <c r="P836" s="9" t="n">
        <v>37</v>
      </c>
      <c r="Q836" s="9" t="n">
        <v>9.2</v>
      </c>
      <c r="R836" s="9" t="n">
        <v>1</v>
      </c>
      <c r="S836" s="8" t="n">
        <v>194283</v>
      </c>
      <c r="T836" s="10" t="n">
        <v>33.8</v>
      </c>
      <c r="U836" s="9" t="n">
        <v>10</v>
      </c>
      <c r="V836" s="3" t="s">
        <v>92</v>
      </c>
      <c r="W836" s="9" t="n">
        <v>0.75</v>
      </c>
      <c r="Z836" s="3" t="s">
        <v>1578</v>
      </c>
      <c r="AA836" s="3" t="s">
        <v>2577</v>
      </c>
      <c r="AB836" s="11" t="n">
        <v>46127</v>
      </c>
    </row>
    <row r="837" customFormat="false" ht="15" hidden="false" customHeight="false" outlineLevel="0" collapsed="false">
      <c r="A837" s="3" t="s">
        <v>2732</v>
      </c>
      <c r="B837" s="3" t="s">
        <v>378</v>
      </c>
      <c r="C837" s="3" t="s">
        <v>2555</v>
      </c>
      <c r="D837" s="3" t="s">
        <v>391</v>
      </c>
      <c r="E837" s="3" t="s">
        <v>2733</v>
      </c>
      <c r="F837" s="3" t="s">
        <v>2336</v>
      </c>
      <c r="G837" s="3" t="s">
        <v>2337</v>
      </c>
      <c r="H837" s="3" t="s">
        <v>2338</v>
      </c>
      <c r="I837" s="3" t="s">
        <v>2734</v>
      </c>
      <c r="M837" s="8" t="n">
        <v>181252</v>
      </c>
      <c r="P837" s="9" t="n">
        <v>77</v>
      </c>
      <c r="Q837" s="9" t="n">
        <v>16.5</v>
      </c>
      <c r="R837" s="9" t="n">
        <v>1</v>
      </c>
      <c r="S837" s="8" t="n">
        <v>359138</v>
      </c>
      <c r="T837" s="10" t="n">
        <v>17.9</v>
      </c>
      <c r="U837" s="9" t="n">
        <v>8</v>
      </c>
      <c r="V837" s="3" t="s">
        <v>92</v>
      </c>
      <c r="W837" s="9" t="n">
        <v>0.75</v>
      </c>
      <c r="Z837" s="3" t="s">
        <v>1578</v>
      </c>
      <c r="AA837" s="3" t="s">
        <v>2577</v>
      </c>
      <c r="AB837" s="11" t="n">
        <v>46127</v>
      </c>
    </row>
    <row r="838" customFormat="false" ht="15" hidden="false" customHeight="false" outlineLevel="0" collapsed="false">
      <c r="A838" s="3" t="s">
        <v>2735</v>
      </c>
      <c r="B838" s="3" t="s">
        <v>378</v>
      </c>
      <c r="C838" s="3" t="s">
        <v>2559</v>
      </c>
      <c r="D838" s="3" t="s">
        <v>384</v>
      </c>
      <c r="E838" s="3" t="s">
        <v>2736</v>
      </c>
      <c r="F838" s="3" t="s">
        <v>2336</v>
      </c>
      <c r="G838" s="3" t="s">
        <v>2337</v>
      </c>
      <c r="H838" s="3" t="s">
        <v>2338</v>
      </c>
      <c r="I838" s="3" t="s">
        <v>2737</v>
      </c>
      <c r="M838" s="8" t="n">
        <v>327953</v>
      </c>
      <c r="P838" s="9" t="n">
        <v>39</v>
      </c>
      <c r="Q838" s="9" t="n">
        <v>5.6</v>
      </c>
      <c r="R838" s="9" t="n">
        <v>1</v>
      </c>
      <c r="S838" s="8" t="n">
        <v>217956</v>
      </c>
      <c r="T838" s="10" t="n">
        <v>35.2</v>
      </c>
      <c r="U838" s="9" t="n">
        <v>7</v>
      </c>
      <c r="V838" s="3" t="s">
        <v>92</v>
      </c>
      <c r="W838" s="9" t="n">
        <v>0.75</v>
      </c>
      <c r="Z838" s="3" t="s">
        <v>1578</v>
      </c>
      <c r="AA838" s="3" t="s">
        <v>2577</v>
      </c>
      <c r="AB838" s="11" t="n">
        <v>46127</v>
      </c>
    </row>
    <row r="839" customFormat="false" ht="15" hidden="false" customHeight="false" outlineLevel="0" collapsed="false">
      <c r="A839" s="3" t="s">
        <v>2738</v>
      </c>
      <c r="B839" s="3" t="s">
        <v>378</v>
      </c>
      <c r="C839" s="3" t="s">
        <v>2563</v>
      </c>
      <c r="D839" s="3" t="s">
        <v>379</v>
      </c>
      <c r="E839" s="3" t="s">
        <v>2739</v>
      </c>
      <c r="F839" s="3" t="s">
        <v>2336</v>
      </c>
      <c r="G839" s="3" t="s">
        <v>2337</v>
      </c>
      <c r="H839" s="3" t="s">
        <v>2338</v>
      </c>
      <c r="I839" s="3" t="s">
        <v>2740</v>
      </c>
      <c r="M839" s="8" t="n">
        <v>474993</v>
      </c>
      <c r="P839" s="9" t="n">
        <v>40</v>
      </c>
      <c r="Q839" s="9" t="n">
        <v>27.7</v>
      </c>
      <c r="R839" s="9" t="n">
        <v>1</v>
      </c>
      <c r="S839" s="8" t="n">
        <v>871738</v>
      </c>
      <c r="T839" s="10" t="n">
        <v>53</v>
      </c>
      <c r="U839" s="9" t="n">
        <v>9</v>
      </c>
      <c r="V839" s="3" t="s">
        <v>62</v>
      </c>
      <c r="W839" s="9" t="n">
        <v>0.75</v>
      </c>
      <c r="Z839" s="3" t="s">
        <v>1578</v>
      </c>
      <c r="AA839" s="3" t="s">
        <v>2577</v>
      </c>
      <c r="AB839" s="11" t="n">
        <v>46127</v>
      </c>
    </row>
    <row r="840" customFormat="false" ht="15" hidden="false" customHeight="false" outlineLevel="0" collapsed="false">
      <c r="A840" s="3" t="s">
        <v>2741</v>
      </c>
      <c r="B840" s="3" t="s">
        <v>378</v>
      </c>
      <c r="C840" s="3" t="s">
        <v>2567</v>
      </c>
      <c r="D840" s="3" t="s">
        <v>379</v>
      </c>
      <c r="E840" s="3" t="s">
        <v>2742</v>
      </c>
      <c r="F840" s="3" t="s">
        <v>2336</v>
      </c>
      <c r="G840" s="3" t="s">
        <v>2337</v>
      </c>
      <c r="H840" s="3" t="s">
        <v>2338</v>
      </c>
      <c r="I840" s="3" t="s">
        <v>2743</v>
      </c>
      <c r="M840" s="8" t="n">
        <v>485307</v>
      </c>
      <c r="P840" s="9" t="n">
        <v>55</v>
      </c>
      <c r="Q840" s="9" t="n">
        <v>12</v>
      </c>
      <c r="R840" s="9" t="n">
        <v>2</v>
      </c>
      <c r="S840" s="8" t="n">
        <v>805855</v>
      </c>
      <c r="T840" s="10" t="n">
        <v>30.7</v>
      </c>
      <c r="U840" s="9" t="n">
        <v>9</v>
      </c>
      <c r="V840" s="3" t="s">
        <v>92</v>
      </c>
      <c r="W840" s="9" t="n">
        <v>0.75</v>
      </c>
      <c r="Z840" s="3" t="s">
        <v>1578</v>
      </c>
      <c r="AA840" s="3" t="s">
        <v>2577</v>
      </c>
      <c r="AB840" s="11" t="n">
        <v>46127</v>
      </c>
    </row>
    <row r="841" customFormat="false" ht="15" hidden="false" customHeight="false" outlineLevel="0" collapsed="false">
      <c r="A841" s="3" t="s">
        <v>2744</v>
      </c>
      <c r="B841" s="3" t="s">
        <v>378</v>
      </c>
      <c r="C841" s="3" t="s">
        <v>2571</v>
      </c>
      <c r="D841" s="3" t="s">
        <v>379</v>
      </c>
      <c r="E841" s="3" t="s">
        <v>2745</v>
      </c>
      <c r="F841" s="3" t="s">
        <v>2336</v>
      </c>
      <c r="G841" s="3" t="s">
        <v>2337</v>
      </c>
      <c r="H841" s="3" t="s">
        <v>2338</v>
      </c>
      <c r="I841" s="3" t="s">
        <v>2746</v>
      </c>
      <c r="M841" s="8" t="n">
        <v>474291</v>
      </c>
      <c r="P841" s="9" t="n">
        <v>49</v>
      </c>
      <c r="Q841" s="9" t="n">
        <v>14.7</v>
      </c>
      <c r="R841" s="9" t="n">
        <v>2</v>
      </c>
      <c r="S841" s="8" t="n">
        <v>1212191</v>
      </c>
      <c r="T841" s="10" t="n">
        <v>50.8</v>
      </c>
      <c r="U841" s="9" t="n">
        <v>2</v>
      </c>
      <c r="V841" s="3" t="s">
        <v>83</v>
      </c>
      <c r="W841" s="9" t="n">
        <v>0.75</v>
      </c>
      <c r="Z841" s="3" t="s">
        <v>1578</v>
      </c>
      <c r="AA841" s="3" t="s">
        <v>2577</v>
      </c>
      <c r="AB841" s="11" t="n">
        <v>46127</v>
      </c>
    </row>
    <row r="842" customFormat="false" ht="15" hidden="false" customHeight="false" outlineLevel="0" collapsed="false">
      <c r="A842" s="3" t="s">
        <v>2747</v>
      </c>
      <c r="B842" s="3" t="s">
        <v>48</v>
      </c>
      <c r="C842" s="3" t="s">
        <v>2334</v>
      </c>
      <c r="E842" s="3" t="s">
        <v>1847</v>
      </c>
      <c r="F842" s="3" t="s">
        <v>2748</v>
      </c>
      <c r="G842" s="3" t="s">
        <v>2337</v>
      </c>
      <c r="H842" s="3" t="s">
        <v>2749</v>
      </c>
      <c r="I842" s="3" t="s">
        <v>2750</v>
      </c>
      <c r="M842" s="8" t="n">
        <v>202552</v>
      </c>
      <c r="N842" s="8" t="n">
        <v>204253</v>
      </c>
      <c r="O842" s="9" t="n">
        <v>19.7</v>
      </c>
      <c r="P842" s="9" t="n">
        <v>36</v>
      </c>
      <c r="R842" s="9" t="n">
        <v>1</v>
      </c>
      <c r="T842" s="10" t="n">
        <v>21</v>
      </c>
      <c r="U842" s="9" t="n">
        <v>9</v>
      </c>
      <c r="V842" s="3" t="s">
        <v>62</v>
      </c>
      <c r="W842" s="9" t="n">
        <v>0.75</v>
      </c>
      <c r="Z842" s="3" t="s">
        <v>1578</v>
      </c>
      <c r="AA842" s="3" t="s">
        <v>2751</v>
      </c>
      <c r="AB842" s="11" t="n">
        <v>46127</v>
      </c>
    </row>
    <row r="843" customFormat="false" ht="15" hidden="false" customHeight="false" outlineLevel="0" collapsed="false">
      <c r="A843" s="3" t="s">
        <v>2752</v>
      </c>
      <c r="B843" s="3" t="s">
        <v>48</v>
      </c>
      <c r="C843" s="3" t="s">
        <v>2342</v>
      </c>
      <c r="E843" s="3" t="s">
        <v>2753</v>
      </c>
      <c r="F843" s="3" t="s">
        <v>2748</v>
      </c>
      <c r="G843" s="3" t="s">
        <v>2337</v>
      </c>
      <c r="H843" s="3" t="s">
        <v>2749</v>
      </c>
      <c r="I843" s="3" t="s">
        <v>2754</v>
      </c>
      <c r="M843" s="8" t="n">
        <v>335819</v>
      </c>
      <c r="N843" s="8" t="n">
        <v>214629</v>
      </c>
      <c r="O843" s="9" t="n">
        <v>3.6</v>
      </c>
      <c r="P843" s="9" t="n">
        <v>75</v>
      </c>
      <c r="R843" s="9" t="n">
        <v>1</v>
      </c>
      <c r="T843" s="10" t="n">
        <v>57.8</v>
      </c>
      <c r="U843" s="9" t="n">
        <v>3</v>
      </c>
      <c r="V843" s="3" t="s">
        <v>55</v>
      </c>
      <c r="W843" s="9" t="n">
        <v>0.75</v>
      </c>
      <c r="Z843" s="3" t="s">
        <v>1578</v>
      </c>
      <c r="AA843" s="3" t="s">
        <v>2751</v>
      </c>
      <c r="AB843" s="11" t="n">
        <v>46127</v>
      </c>
    </row>
    <row r="844" customFormat="false" ht="15" hidden="false" customHeight="false" outlineLevel="0" collapsed="false">
      <c r="A844" s="3" t="s">
        <v>2755</v>
      </c>
      <c r="B844" s="3" t="s">
        <v>48</v>
      </c>
      <c r="C844" s="3" t="s">
        <v>2346</v>
      </c>
      <c r="E844" s="3" t="s">
        <v>2756</v>
      </c>
      <c r="F844" s="3" t="s">
        <v>2748</v>
      </c>
      <c r="G844" s="3" t="s">
        <v>2337</v>
      </c>
      <c r="H844" s="3" t="s">
        <v>2749</v>
      </c>
      <c r="I844" s="3" t="s">
        <v>2757</v>
      </c>
      <c r="M844" s="8" t="n">
        <v>129382</v>
      </c>
      <c r="N844" s="8" t="n">
        <v>362924</v>
      </c>
      <c r="O844" s="9" t="n">
        <v>9.9</v>
      </c>
      <c r="P844" s="9" t="n">
        <v>75</v>
      </c>
      <c r="R844" s="9" t="n">
        <v>1</v>
      </c>
      <c r="T844" s="10" t="n">
        <v>23.2</v>
      </c>
      <c r="U844" s="9" t="n">
        <v>2</v>
      </c>
      <c r="V844" s="3" t="s">
        <v>55</v>
      </c>
      <c r="W844" s="9" t="n">
        <v>0.75</v>
      </c>
      <c r="Z844" s="3" t="s">
        <v>1578</v>
      </c>
      <c r="AA844" s="3" t="s">
        <v>2751</v>
      </c>
      <c r="AB844" s="11" t="n">
        <v>46127</v>
      </c>
    </row>
    <row r="845" customFormat="false" ht="15" hidden="false" customHeight="false" outlineLevel="0" collapsed="false">
      <c r="A845" s="3" t="s">
        <v>2758</v>
      </c>
      <c r="B845" s="3" t="s">
        <v>48</v>
      </c>
      <c r="C845" s="3" t="s">
        <v>2350</v>
      </c>
      <c r="E845" s="3" t="s">
        <v>2759</v>
      </c>
      <c r="F845" s="3" t="s">
        <v>2748</v>
      </c>
      <c r="G845" s="3" t="s">
        <v>2337</v>
      </c>
      <c r="H845" s="3" t="s">
        <v>2749</v>
      </c>
      <c r="I845" s="3" t="s">
        <v>2760</v>
      </c>
      <c r="M845" s="8" t="n">
        <v>270084</v>
      </c>
      <c r="N845" s="8" t="n">
        <v>208064</v>
      </c>
      <c r="O845" s="9" t="n">
        <v>8.7</v>
      </c>
      <c r="P845" s="9" t="n">
        <v>65</v>
      </c>
      <c r="R845" s="9" t="n">
        <v>1</v>
      </c>
      <c r="T845" s="10" t="n">
        <v>87.8</v>
      </c>
      <c r="U845" s="9" t="n">
        <v>1</v>
      </c>
      <c r="V845" s="3" t="s">
        <v>83</v>
      </c>
      <c r="W845" s="9" t="n">
        <v>0.75</v>
      </c>
      <c r="Z845" s="3" t="s">
        <v>1578</v>
      </c>
      <c r="AA845" s="3" t="s">
        <v>2751</v>
      </c>
      <c r="AB845" s="11" t="n">
        <v>46127</v>
      </c>
    </row>
    <row r="846" customFormat="false" ht="15" hidden="false" customHeight="false" outlineLevel="0" collapsed="false">
      <c r="A846" s="3" t="s">
        <v>2761</v>
      </c>
      <c r="B846" s="3" t="s">
        <v>48</v>
      </c>
      <c r="C846" s="3" t="s">
        <v>2354</v>
      </c>
      <c r="E846" s="3" t="s">
        <v>2762</v>
      </c>
      <c r="F846" s="3" t="s">
        <v>2748</v>
      </c>
      <c r="G846" s="3" t="s">
        <v>2337</v>
      </c>
      <c r="H846" s="3" t="s">
        <v>2749</v>
      </c>
      <c r="I846" s="3" t="s">
        <v>2763</v>
      </c>
      <c r="M846" s="8" t="n">
        <v>353829</v>
      </c>
      <c r="N846" s="8" t="n">
        <v>247173</v>
      </c>
      <c r="O846" s="9" t="n">
        <v>9.1</v>
      </c>
      <c r="P846" s="9" t="n">
        <v>64</v>
      </c>
      <c r="R846" s="9" t="n">
        <v>1</v>
      </c>
      <c r="T846" s="10" t="n">
        <v>48</v>
      </c>
      <c r="U846" s="9" t="n">
        <v>8</v>
      </c>
      <c r="V846" s="3" t="s">
        <v>55</v>
      </c>
      <c r="W846" s="9" t="n">
        <v>0.75</v>
      </c>
      <c r="Z846" s="3" t="s">
        <v>1578</v>
      </c>
      <c r="AA846" s="3" t="s">
        <v>2751</v>
      </c>
      <c r="AB846" s="11" t="n">
        <v>46127</v>
      </c>
    </row>
    <row r="847" customFormat="false" ht="15" hidden="false" customHeight="false" outlineLevel="0" collapsed="false">
      <c r="A847" s="3" t="s">
        <v>2764</v>
      </c>
      <c r="B847" s="3" t="s">
        <v>48</v>
      </c>
      <c r="C847" s="3" t="s">
        <v>2358</v>
      </c>
      <c r="E847" s="3" t="s">
        <v>2765</v>
      </c>
      <c r="F847" s="3" t="s">
        <v>2748</v>
      </c>
      <c r="G847" s="3" t="s">
        <v>2337</v>
      </c>
      <c r="H847" s="3" t="s">
        <v>2749</v>
      </c>
      <c r="I847" s="3" t="s">
        <v>2766</v>
      </c>
      <c r="M847" s="8" t="n">
        <v>237990</v>
      </c>
      <c r="N847" s="8" t="n">
        <v>132130</v>
      </c>
      <c r="O847" s="9" t="n">
        <v>24.4</v>
      </c>
      <c r="P847" s="9" t="n">
        <v>64</v>
      </c>
      <c r="R847" s="9" t="n">
        <v>1</v>
      </c>
      <c r="T847" s="10" t="n">
        <v>47.8</v>
      </c>
      <c r="U847" s="9" t="n">
        <v>9</v>
      </c>
      <c r="V847" s="3" t="s">
        <v>83</v>
      </c>
      <c r="W847" s="9" t="n">
        <v>0.75</v>
      </c>
      <c r="Z847" s="3" t="s">
        <v>1578</v>
      </c>
      <c r="AA847" s="3" t="s">
        <v>2751</v>
      </c>
      <c r="AB847" s="11" t="n">
        <v>46127</v>
      </c>
    </row>
    <row r="848" customFormat="false" ht="15" hidden="false" customHeight="false" outlineLevel="0" collapsed="false">
      <c r="A848" s="3" t="s">
        <v>2767</v>
      </c>
      <c r="B848" s="3" t="s">
        <v>48</v>
      </c>
      <c r="C848" s="3" t="s">
        <v>2362</v>
      </c>
      <c r="E848" s="3" t="s">
        <v>919</v>
      </c>
      <c r="F848" s="3" t="s">
        <v>2748</v>
      </c>
      <c r="G848" s="3" t="s">
        <v>2337</v>
      </c>
      <c r="H848" s="3" t="s">
        <v>2749</v>
      </c>
      <c r="I848" s="3" t="s">
        <v>2768</v>
      </c>
      <c r="M848" s="8" t="n">
        <v>945726</v>
      </c>
      <c r="N848" s="8" t="n">
        <v>319957</v>
      </c>
      <c r="O848" s="9" t="n">
        <v>9.3</v>
      </c>
      <c r="P848" s="9" t="n">
        <v>37</v>
      </c>
      <c r="R848" s="9" t="n">
        <v>1</v>
      </c>
      <c r="T848" s="10" t="n">
        <v>21.4</v>
      </c>
      <c r="U848" s="9" t="n">
        <v>5</v>
      </c>
      <c r="V848" s="3" t="s">
        <v>83</v>
      </c>
      <c r="W848" s="9" t="n">
        <v>0.75</v>
      </c>
      <c r="Z848" s="3" t="s">
        <v>1578</v>
      </c>
      <c r="AA848" s="3" t="s">
        <v>2751</v>
      </c>
      <c r="AB848" s="11" t="n">
        <v>46127</v>
      </c>
    </row>
    <row r="849" customFormat="false" ht="15" hidden="false" customHeight="false" outlineLevel="0" collapsed="false">
      <c r="A849" s="3" t="s">
        <v>2769</v>
      </c>
      <c r="B849" s="3" t="s">
        <v>48</v>
      </c>
      <c r="C849" s="3" t="s">
        <v>2366</v>
      </c>
      <c r="E849" s="3" t="s">
        <v>2727</v>
      </c>
      <c r="F849" s="3" t="s">
        <v>2748</v>
      </c>
      <c r="G849" s="3" t="s">
        <v>2337</v>
      </c>
      <c r="H849" s="3" t="s">
        <v>2749</v>
      </c>
      <c r="I849" s="3" t="s">
        <v>2770</v>
      </c>
      <c r="M849" s="8" t="n">
        <v>500264</v>
      </c>
      <c r="N849" s="8" t="n">
        <v>351810</v>
      </c>
      <c r="O849" s="9" t="n">
        <v>5</v>
      </c>
      <c r="P849" s="9" t="n">
        <v>75</v>
      </c>
      <c r="R849" s="9" t="n">
        <v>1</v>
      </c>
      <c r="T849" s="10" t="n">
        <v>35.9</v>
      </c>
      <c r="U849" s="9" t="n">
        <v>4</v>
      </c>
      <c r="V849" s="3" t="s">
        <v>83</v>
      </c>
      <c r="W849" s="9" t="n">
        <v>0.75</v>
      </c>
      <c r="Z849" s="3" t="s">
        <v>1578</v>
      </c>
      <c r="AA849" s="3" t="s">
        <v>2751</v>
      </c>
      <c r="AB849" s="11" t="n">
        <v>46127</v>
      </c>
    </row>
    <row r="850" customFormat="false" ht="15" hidden="false" customHeight="false" outlineLevel="0" collapsed="false">
      <c r="A850" s="3" t="s">
        <v>2771</v>
      </c>
      <c r="B850" s="3" t="s">
        <v>48</v>
      </c>
      <c r="C850" s="3" t="s">
        <v>2370</v>
      </c>
      <c r="E850" s="3" t="s">
        <v>2772</v>
      </c>
      <c r="F850" s="3" t="s">
        <v>2748</v>
      </c>
      <c r="G850" s="3" t="s">
        <v>2337</v>
      </c>
      <c r="H850" s="3" t="s">
        <v>2749</v>
      </c>
      <c r="I850" s="3" t="s">
        <v>2773</v>
      </c>
      <c r="M850" s="8" t="n">
        <v>250216</v>
      </c>
      <c r="N850" s="8" t="n">
        <v>354721</v>
      </c>
      <c r="O850" s="9" t="n">
        <v>19.5</v>
      </c>
      <c r="P850" s="9" t="n">
        <v>37</v>
      </c>
      <c r="R850" s="9" t="n">
        <v>1</v>
      </c>
      <c r="T850" s="10" t="n">
        <v>81.2</v>
      </c>
      <c r="U850" s="9" t="n">
        <v>3</v>
      </c>
      <c r="V850" s="3" t="s">
        <v>62</v>
      </c>
      <c r="W850" s="9" t="n">
        <v>0.75</v>
      </c>
      <c r="Z850" s="3" t="s">
        <v>1578</v>
      </c>
      <c r="AA850" s="3" t="s">
        <v>2751</v>
      </c>
      <c r="AB850" s="11" t="n">
        <v>46127</v>
      </c>
    </row>
    <row r="851" customFormat="false" ht="15" hidden="false" customHeight="false" outlineLevel="0" collapsed="false">
      <c r="A851" s="3" t="s">
        <v>2774</v>
      </c>
      <c r="B851" s="3" t="s">
        <v>48</v>
      </c>
      <c r="C851" s="3" t="s">
        <v>2374</v>
      </c>
      <c r="E851" s="3" t="s">
        <v>2775</v>
      </c>
      <c r="F851" s="3" t="s">
        <v>2748</v>
      </c>
      <c r="G851" s="3" t="s">
        <v>2337</v>
      </c>
      <c r="H851" s="3" t="s">
        <v>2749</v>
      </c>
      <c r="I851" s="3" t="s">
        <v>2776</v>
      </c>
      <c r="M851" s="8" t="n">
        <v>988747</v>
      </c>
      <c r="N851" s="8" t="n">
        <v>421685</v>
      </c>
      <c r="O851" s="9" t="n">
        <v>25.3</v>
      </c>
      <c r="P851" s="9" t="n">
        <v>76</v>
      </c>
      <c r="R851" s="9" t="n">
        <v>1</v>
      </c>
      <c r="T851" s="10" t="n">
        <v>90.6</v>
      </c>
      <c r="U851" s="9" t="n">
        <v>9</v>
      </c>
      <c r="V851" s="3" t="s">
        <v>55</v>
      </c>
      <c r="W851" s="9" t="n">
        <v>0.75</v>
      </c>
      <c r="Z851" s="3" t="s">
        <v>1578</v>
      </c>
      <c r="AA851" s="3" t="s">
        <v>2751</v>
      </c>
      <c r="AB851" s="11" t="n">
        <v>46127</v>
      </c>
    </row>
    <row r="852" customFormat="false" ht="15" hidden="false" customHeight="false" outlineLevel="0" collapsed="false">
      <c r="A852" s="3" t="s">
        <v>2777</v>
      </c>
      <c r="B852" s="3" t="s">
        <v>48</v>
      </c>
      <c r="C852" s="3" t="s">
        <v>2378</v>
      </c>
      <c r="E852" s="3" t="s">
        <v>2778</v>
      </c>
      <c r="F852" s="3" t="s">
        <v>2748</v>
      </c>
      <c r="G852" s="3" t="s">
        <v>2337</v>
      </c>
      <c r="H852" s="3" t="s">
        <v>2749</v>
      </c>
      <c r="I852" s="3" t="s">
        <v>2779</v>
      </c>
      <c r="M852" s="8" t="n">
        <v>110414</v>
      </c>
      <c r="N852" s="8" t="n">
        <v>108160</v>
      </c>
      <c r="O852" s="9" t="n">
        <v>28.7</v>
      </c>
      <c r="P852" s="9" t="n">
        <v>70</v>
      </c>
      <c r="R852" s="9" t="n">
        <v>1</v>
      </c>
      <c r="T852" s="10" t="n">
        <v>80.8</v>
      </c>
      <c r="U852" s="9" t="n">
        <v>1</v>
      </c>
      <c r="V852" s="3" t="s">
        <v>83</v>
      </c>
      <c r="W852" s="9" t="n">
        <v>0.75</v>
      </c>
      <c r="Z852" s="3" t="s">
        <v>1578</v>
      </c>
      <c r="AA852" s="3" t="s">
        <v>2751</v>
      </c>
      <c r="AB852" s="11" t="n">
        <v>46127</v>
      </c>
    </row>
    <row r="853" customFormat="false" ht="15" hidden="false" customHeight="false" outlineLevel="0" collapsed="false">
      <c r="A853" s="3" t="s">
        <v>2780</v>
      </c>
      <c r="B853" s="3" t="s">
        <v>48</v>
      </c>
      <c r="C853" s="3" t="s">
        <v>2382</v>
      </c>
      <c r="E853" s="3" t="s">
        <v>1183</v>
      </c>
      <c r="F853" s="3" t="s">
        <v>2748</v>
      </c>
      <c r="G853" s="3" t="s">
        <v>2337</v>
      </c>
      <c r="H853" s="3" t="s">
        <v>2749</v>
      </c>
      <c r="I853" s="3" t="s">
        <v>2781</v>
      </c>
      <c r="M853" s="8" t="n">
        <v>264913</v>
      </c>
      <c r="N853" s="8" t="n">
        <v>303963</v>
      </c>
      <c r="O853" s="9" t="n">
        <v>20.5</v>
      </c>
      <c r="P853" s="9" t="n">
        <v>38</v>
      </c>
      <c r="R853" s="9" t="n">
        <v>1</v>
      </c>
      <c r="T853" s="10" t="n">
        <v>86.1</v>
      </c>
      <c r="U853" s="9" t="n">
        <v>1</v>
      </c>
      <c r="V853" s="3" t="s">
        <v>62</v>
      </c>
      <c r="W853" s="9" t="n">
        <v>0.75</v>
      </c>
      <c r="Z853" s="3" t="s">
        <v>1578</v>
      </c>
      <c r="AA853" s="3" t="s">
        <v>2751</v>
      </c>
      <c r="AB853" s="11" t="n">
        <v>46127</v>
      </c>
    </row>
    <row r="854" customFormat="false" ht="15" hidden="false" customHeight="false" outlineLevel="0" collapsed="false">
      <c r="A854" s="3" t="s">
        <v>2782</v>
      </c>
      <c r="B854" s="3" t="s">
        <v>48</v>
      </c>
      <c r="C854" s="3" t="s">
        <v>2386</v>
      </c>
      <c r="E854" s="3" t="s">
        <v>878</v>
      </c>
      <c r="F854" s="3" t="s">
        <v>2748</v>
      </c>
      <c r="G854" s="3" t="s">
        <v>2337</v>
      </c>
      <c r="H854" s="3" t="s">
        <v>2749</v>
      </c>
      <c r="I854" s="3" t="s">
        <v>2783</v>
      </c>
      <c r="M854" s="8" t="n">
        <v>471575</v>
      </c>
      <c r="N854" s="8" t="n">
        <v>200863</v>
      </c>
      <c r="O854" s="9" t="n">
        <v>1.9</v>
      </c>
      <c r="P854" s="9" t="n">
        <v>51</v>
      </c>
      <c r="R854" s="9" t="n">
        <v>1</v>
      </c>
      <c r="T854" s="10" t="n">
        <v>88.4</v>
      </c>
      <c r="U854" s="9" t="n">
        <v>4</v>
      </c>
      <c r="V854" s="3" t="s">
        <v>55</v>
      </c>
      <c r="W854" s="9" t="n">
        <v>0.75</v>
      </c>
      <c r="Z854" s="3" t="s">
        <v>1578</v>
      </c>
      <c r="AA854" s="3" t="s">
        <v>2751</v>
      </c>
      <c r="AB854" s="11" t="n">
        <v>46127</v>
      </c>
    </row>
    <row r="855" customFormat="false" ht="15" hidden="false" customHeight="false" outlineLevel="0" collapsed="false">
      <c r="A855" s="3" t="s">
        <v>2784</v>
      </c>
      <c r="B855" s="3" t="s">
        <v>48</v>
      </c>
      <c r="C855" s="3" t="s">
        <v>2390</v>
      </c>
      <c r="E855" s="3" t="s">
        <v>2785</v>
      </c>
      <c r="F855" s="3" t="s">
        <v>2748</v>
      </c>
      <c r="G855" s="3" t="s">
        <v>2337</v>
      </c>
      <c r="H855" s="3" t="s">
        <v>2749</v>
      </c>
      <c r="I855" s="3" t="s">
        <v>2786</v>
      </c>
      <c r="M855" s="8" t="n">
        <v>108902</v>
      </c>
      <c r="N855" s="8" t="n">
        <v>395121</v>
      </c>
      <c r="O855" s="9" t="n">
        <v>10.8</v>
      </c>
      <c r="P855" s="9" t="n">
        <v>52</v>
      </c>
      <c r="R855" s="9" t="n">
        <v>1</v>
      </c>
      <c r="T855" s="10" t="n">
        <v>45.2</v>
      </c>
      <c r="U855" s="9" t="n">
        <v>6</v>
      </c>
      <c r="V855" s="3" t="s">
        <v>55</v>
      </c>
      <c r="W855" s="9" t="n">
        <v>0.75</v>
      </c>
      <c r="Z855" s="3" t="s">
        <v>1578</v>
      </c>
      <c r="AA855" s="3" t="s">
        <v>2751</v>
      </c>
      <c r="AB855" s="11" t="n">
        <v>46127</v>
      </c>
    </row>
    <row r="856" customFormat="false" ht="15" hidden="false" customHeight="false" outlineLevel="0" collapsed="false">
      <c r="A856" s="3" t="s">
        <v>2787</v>
      </c>
      <c r="B856" s="3" t="s">
        <v>48</v>
      </c>
      <c r="C856" s="3" t="s">
        <v>2394</v>
      </c>
      <c r="E856" s="3" t="s">
        <v>1957</v>
      </c>
      <c r="F856" s="3" t="s">
        <v>2748</v>
      </c>
      <c r="G856" s="3" t="s">
        <v>2337</v>
      </c>
      <c r="H856" s="3" t="s">
        <v>2749</v>
      </c>
      <c r="I856" s="3" t="s">
        <v>1614</v>
      </c>
      <c r="M856" s="8" t="n">
        <v>399538</v>
      </c>
      <c r="N856" s="8" t="n">
        <v>680744</v>
      </c>
      <c r="O856" s="9" t="n">
        <v>25.4</v>
      </c>
      <c r="P856" s="9" t="n">
        <v>39</v>
      </c>
      <c r="R856" s="9" t="n">
        <v>1</v>
      </c>
      <c r="T856" s="10" t="n">
        <v>54.5</v>
      </c>
      <c r="U856" s="9" t="n">
        <v>2</v>
      </c>
      <c r="V856" s="3" t="s">
        <v>83</v>
      </c>
      <c r="W856" s="9" t="n">
        <v>0.75</v>
      </c>
      <c r="Z856" s="3" t="s">
        <v>1578</v>
      </c>
      <c r="AA856" s="3" t="s">
        <v>2751</v>
      </c>
      <c r="AB856" s="11" t="n">
        <v>46127</v>
      </c>
    </row>
    <row r="857" customFormat="false" ht="15" hidden="false" customHeight="false" outlineLevel="0" collapsed="false">
      <c r="A857" s="3" t="s">
        <v>2788</v>
      </c>
      <c r="B857" s="3" t="s">
        <v>48</v>
      </c>
      <c r="C857" s="3" t="s">
        <v>2398</v>
      </c>
      <c r="E857" s="3" t="s">
        <v>2789</v>
      </c>
      <c r="F857" s="3" t="s">
        <v>2748</v>
      </c>
      <c r="G857" s="3" t="s">
        <v>2337</v>
      </c>
      <c r="H857" s="3" t="s">
        <v>2749</v>
      </c>
      <c r="I857" s="3" t="s">
        <v>2790</v>
      </c>
      <c r="M857" s="8" t="n">
        <v>508706</v>
      </c>
      <c r="N857" s="8" t="n">
        <v>932754</v>
      </c>
      <c r="O857" s="9" t="n">
        <v>3</v>
      </c>
      <c r="P857" s="9" t="n">
        <v>76</v>
      </c>
      <c r="R857" s="9" t="n">
        <v>1</v>
      </c>
      <c r="T857" s="10" t="n">
        <v>75.9</v>
      </c>
      <c r="U857" s="9" t="n">
        <v>8</v>
      </c>
      <c r="V857" s="3" t="s">
        <v>92</v>
      </c>
      <c r="W857" s="9" t="n">
        <v>0.75</v>
      </c>
      <c r="Z857" s="3" t="s">
        <v>1578</v>
      </c>
      <c r="AA857" s="3" t="s">
        <v>2751</v>
      </c>
      <c r="AB857" s="11" t="n">
        <v>46127</v>
      </c>
    </row>
    <row r="858" customFormat="false" ht="15" hidden="false" customHeight="false" outlineLevel="0" collapsed="false">
      <c r="A858" s="3" t="s">
        <v>2791</v>
      </c>
      <c r="B858" s="3" t="s">
        <v>48</v>
      </c>
      <c r="C858" s="3" t="s">
        <v>2402</v>
      </c>
      <c r="E858" s="3" t="s">
        <v>2792</v>
      </c>
      <c r="F858" s="3" t="s">
        <v>2748</v>
      </c>
      <c r="G858" s="3" t="s">
        <v>2337</v>
      </c>
      <c r="H858" s="3" t="s">
        <v>2749</v>
      </c>
      <c r="I858" s="3" t="s">
        <v>2793</v>
      </c>
      <c r="M858" s="8" t="n">
        <v>475946</v>
      </c>
      <c r="N858" s="8" t="n">
        <v>107927</v>
      </c>
      <c r="O858" s="9" t="n">
        <v>4.7</v>
      </c>
      <c r="P858" s="9" t="n">
        <v>53</v>
      </c>
      <c r="R858" s="9" t="n">
        <v>1</v>
      </c>
      <c r="T858" s="10" t="n">
        <v>81.2</v>
      </c>
      <c r="U858" s="9" t="n">
        <v>2</v>
      </c>
      <c r="V858" s="3" t="s">
        <v>83</v>
      </c>
      <c r="W858" s="9" t="n">
        <v>0.75</v>
      </c>
      <c r="Z858" s="3" t="s">
        <v>1578</v>
      </c>
      <c r="AA858" s="3" t="s">
        <v>2751</v>
      </c>
      <c r="AB858" s="11" t="n">
        <v>46127</v>
      </c>
    </row>
    <row r="859" customFormat="false" ht="15" hidden="false" customHeight="false" outlineLevel="0" collapsed="false">
      <c r="A859" s="3" t="s">
        <v>2794</v>
      </c>
      <c r="B859" s="3" t="s">
        <v>48</v>
      </c>
      <c r="C859" s="3" t="s">
        <v>2405</v>
      </c>
      <c r="E859" s="3" t="s">
        <v>2795</v>
      </c>
      <c r="F859" s="3" t="s">
        <v>2748</v>
      </c>
      <c r="G859" s="3" t="s">
        <v>2337</v>
      </c>
      <c r="H859" s="3" t="s">
        <v>2749</v>
      </c>
      <c r="I859" s="3" t="s">
        <v>2796</v>
      </c>
      <c r="M859" s="8" t="n">
        <v>592960</v>
      </c>
      <c r="N859" s="8" t="n">
        <v>560097</v>
      </c>
      <c r="O859" s="9" t="n">
        <v>12.5</v>
      </c>
      <c r="P859" s="9" t="n">
        <v>77</v>
      </c>
      <c r="R859" s="9" t="n">
        <v>1</v>
      </c>
      <c r="T859" s="10" t="n">
        <v>34.3</v>
      </c>
      <c r="U859" s="9" t="n">
        <v>5</v>
      </c>
      <c r="V859" s="3" t="s">
        <v>55</v>
      </c>
      <c r="W859" s="9" t="n">
        <v>0.75</v>
      </c>
      <c r="Z859" s="3" t="s">
        <v>1578</v>
      </c>
      <c r="AA859" s="3" t="s">
        <v>2751</v>
      </c>
      <c r="AB859" s="11" t="n">
        <v>46127</v>
      </c>
    </row>
    <row r="860" customFormat="false" ht="15" hidden="false" customHeight="false" outlineLevel="0" collapsed="false">
      <c r="A860" s="3" t="s">
        <v>2797</v>
      </c>
      <c r="B860" s="3" t="s">
        <v>48</v>
      </c>
      <c r="C860" s="3" t="s">
        <v>2409</v>
      </c>
      <c r="E860" s="3" t="s">
        <v>2798</v>
      </c>
      <c r="F860" s="3" t="s">
        <v>2748</v>
      </c>
      <c r="G860" s="3" t="s">
        <v>2337</v>
      </c>
      <c r="H860" s="3" t="s">
        <v>2749</v>
      </c>
      <c r="I860" s="3" t="s">
        <v>2799</v>
      </c>
      <c r="M860" s="8" t="n">
        <v>125436</v>
      </c>
      <c r="N860" s="8" t="n">
        <v>468594</v>
      </c>
      <c r="O860" s="9" t="n">
        <v>4.1</v>
      </c>
      <c r="P860" s="9" t="n">
        <v>44</v>
      </c>
      <c r="R860" s="9" t="n">
        <v>1</v>
      </c>
      <c r="T860" s="10" t="n">
        <v>40.6</v>
      </c>
      <c r="U860" s="9" t="n">
        <v>3</v>
      </c>
      <c r="V860" s="3" t="s">
        <v>92</v>
      </c>
      <c r="W860" s="9" t="n">
        <v>0.75</v>
      </c>
      <c r="Z860" s="3" t="s">
        <v>1578</v>
      </c>
      <c r="AA860" s="3" t="s">
        <v>2751</v>
      </c>
      <c r="AB860" s="11" t="n">
        <v>46127</v>
      </c>
    </row>
    <row r="861" customFormat="false" ht="15" hidden="false" customHeight="false" outlineLevel="0" collapsed="false">
      <c r="A861" s="3" t="s">
        <v>2800</v>
      </c>
      <c r="B861" s="3" t="s">
        <v>48</v>
      </c>
      <c r="C861" s="3" t="s">
        <v>2413</v>
      </c>
      <c r="E861" s="3" t="s">
        <v>2801</v>
      </c>
      <c r="F861" s="3" t="s">
        <v>2748</v>
      </c>
      <c r="G861" s="3" t="s">
        <v>2337</v>
      </c>
      <c r="H861" s="3" t="s">
        <v>2749</v>
      </c>
      <c r="I861" s="3" t="s">
        <v>2802</v>
      </c>
      <c r="M861" s="8" t="n">
        <v>397932</v>
      </c>
      <c r="N861" s="8" t="n">
        <v>299547</v>
      </c>
      <c r="O861" s="9" t="n">
        <v>15.9</v>
      </c>
      <c r="P861" s="9" t="n">
        <v>51</v>
      </c>
      <c r="R861" s="9" t="n">
        <v>1</v>
      </c>
      <c r="T861" s="10" t="n">
        <v>28.9</v>
      </c>
      <c r="U861" s="9" t="n">
        <v>2</v>
      </c>
      <c r="V861" s="3" t="s">
        <v>62</v>
      </c>
      <c r="W861" s="9" t="n">
        <v>0.75</v>
      </c>
      <c r="Z861" s="3" t="s">
        <v>1578</v>
      </c>
      <c r="AA861" s="3" t="s">
        <v>2751</v>
      </c>
      <c r="AB861" s="11" t="n">
        <v>46127</v>
      </c>
    </row>
    <row r="862" customFormat="false" ht="15" hidden="false" customHeight="false" outlineLevel="0" collapsed="false">
      <c r="A862" s="3" t="s">
        <v>2803</v>
      </c>
      <c r="B862" s="3" t="s">
        <v>48</v>
      </c>
      <c r="C862" s="3" t="s">
        <v>2417</v>
      </c>
      <c r="E862" s="3" t="s">
        <v>2094</v>
      </c>
      <c r="F862" s="3" t="s">
        <v>2748</v>
      </c>
      <c r="G862" s="3" t="s">
        <v>2337</v>
      </c>
      <c r="H862" s="3" t="s">
        <v>2749</v>
      </c>
      <c r="I862" s="3" t="s">
        <v>2804</v>
      </c>
      <c r="M862" s="8" t="n">
        <v>473888</v>
      </c>
      <c r="N862" s="8" t="n">
        <v>213885</v>
      </c>
      <c r="O862" s="9" t="n">
        <v>14</v>
      </c>
      <c r="P862" s="9" t="n">
        <v>69</v>
      </c>
      <c r="R862" s="9" t="n">
        <v>2</v>
      </c>
      <c r="T862" s="10" t="n">
        <v>22.3</v>
      </c>
      <c r="U862" s="9" t="n">
        <v>7</v>
      </c>
      <c r="V862" s="3" t="s">
        <v>55</v>
      </c>
      <c r="W862" s="9" t="n">
        <v>0.75</v>
      </c>
      <c r="Z862" s="3" t="s">
        <v>1578</v>
      </c>
      <c r="AA862" s="3" t="s">
        <v>2751</v>
      </c>
      <c r="AB862" s="11" t="n">
        <v>46127</v>
      </c>
    </row>
    <row r="863" customFormat="false" ht="15" hidden="false" customHeight="false" outlineLevel="0" collapsed="false">
      <c r="A863" s="3" t="s">
        <v>2805</v>
      </c>
      <c r="B863" s="3" t="s">
        <v>48</v>
      </c>
      <c r="C863" s="3" t="s">
        <v>2421</v>
      </c>
      <c r="E863" s="3" t="s">
        <v>2806</v>
      </c>
      <c r="F863" s="3" t="s">
        <v>2748</v>
      </c>
      <c r="G863" s="3" t="s">
        <v>2337</v>
      </c>
      <c r="H863" s="3" t="s">
        <v>2749</v>
      </c>
      <c r="I863" s="3" t="s">
        <v>2807</v>
      </c>
      <c r="M863" s="8" t="n">
        <v>322560</v>
      </c>
      <c r="N863" s="8" t="n">
        <v>186046</v>
      </c>
      <c r="O863" s="9" t="n">
        <v>4</v>
      </c>
      <c r="P863" s="9" t="n">
        <v>41</v>
      </c>
      <c r="R863" s="9" t="n">
        <v>1</v>
      </c>
      <c r="T863" s="10" t="n">
        <v>67.2</v>
      </c>
      <c r="U863" s="9" t="n">
        <v>10</v>
      </c>
      <c r="V863" s="3" t="s">
        <v>55</v>
      </c>
      <c r="W863" s="9" t="n">
        <v>0.75</v>
      </c>
      <c r="Z863" s="3" t="s">
        <v>1578</v>
      </c>
      <c r="AA863" s="3" t="s">
        <v>2751</v>
      </c>
      <c r="AB863" s="11" t="n">
        <v>46127</v>
      </c>
    </row>
    <row r="864" customFormat="false" ht="15" hidden="false" customHeight="false" outlineLevel="0" collapsed="false">
      <c r="A864" s="3" t="s">
        <v>2808</v>
      </c>
      <c r="B864" s="3" t="s">
        <v>48</v>
      </c>
      <c r="C864" s="3" t="s">
        <v>2424</v>
      </c>
      <c r="E864" s="3" t="s">
        <v>2809</v>
      </c>
      <c r="F864" s="3" t="s">
        <v>2748</v>
      </c>
      <c r="G864" s="3" t="s">
        <v>2337</v>
      </c>
      <c r="H864" s="3" t="s">
        <v>2749</v>
      </c>
      <c r="I864" s="3" t="s">
        <v>2810</v>
      </c>
      <c r="M864" s="8" t="n">
        <v>160171</v>
      </c>
      <c r="N864" s="8" t="n">
        <v>242287</v>
      </c>
      <c r="O864" s="9" t="n">
        <v>4.9</v>
      </c>
      <c r="P864" s="9" t="n">
        <v>76</v>
      </c>
      <c r="R864" s="9" t="n">
        <v>1</v>
      </c>
      <c r="T864" s="10" t="n">
        <v>52.5</v>
      </c>
      <c r="U864" s="9" t="n">
        <v>5</v>
      </c>
      <c r="V864" s="3" t="s">
        <v>92</v>
      </c>
      <c r="W864" s="9" t="n">
        <v>0.75</v>
      </c>
      <c r="Z864" s="3" t="s">
        <v>1578</v>
      </c>
      <c r="AA864" s="3" t="s">
        <v>2751</v>
      </c>
      <c r="AB864" s="11" t="n">
        <v>46127</v>
      </c>
    </row>
    <row r="865" customFormat="false" ht="15" hidden="false" customHeight="false" outlineLevel="0" collapsed="false">
      <c r="A865" s="3" t="s">
        <v>2811</v>
      </c>
      <c r="B865" s="3" t="s">
        <v>48</v>
      </c>
      <c r="C865" s="3" t="s">
        <v>2428</v>
      </c>
      <c r="E865" s="3" t="s">
        <v>2812</v>
      </c>
      <c r="F865" s="3" t="s">
        <v>2748</v>
      </c>
      <c r="G865" s="3" t="s">
        <v>2337</v>
      </c>
      <c r="H865" s="3" t="s">
        <v>2749</v>
      </c>
      <c r="I865" s="3" t="s">
        <v>2813</v>
      </c>
      <c r="M865" s="8" t="n">
        <v>585903</v>
      </c>
      <c r="N865" s="8" t="n">
        <v>147009</v>
      </c>
      <c r="O865" s="9" t="n">
        <v>6.5</v>
      </c>
      <c r="P865" s="9" t="n">
        <v>76</v>
      </c>
      <c r="R865" s="9" t="n">
        <v>1</v>
      </c>
      <c r="T865" s="10" t="n">
        <v>38.2</v>
      </c>
      <c r="U865" s="9" t="n">
        <v>5</v>
      </c>
      <c r="V865" s="3" t="s">
        <v>92</v>
      </c>
      <c r="W865" s="9" t="n">
        <v>0.75</v>
      </c>
      <c r="Z865" s="3" t="s">
        <v>1578</v>
      </c>
      <c r="AA865" s="3" t="s">
        <v>2751</v>
      </c>
      <c r="AB865" s="11" t="n">
        <v>46127</v>
      </c>
    </row>
    <row r="866" customFormat="false" ht="15" hidden="false" customHeight="false" outlineLevel="0" collapsed="false">
      <c r="A866" s="3" t="s">
        <v>2814</v>
      </c>
      <c r="B866" s="3" t="s">
        <v>48</v>
      </c>
      <c r="C866" s="3" t="s">
        <v>2432</v>
      </c>
      <c r="E866" s="3" t="s">
        <v>2815</v>
      </c>
      <c r="F866" s="3" t="s">
        <v>2748</v>
      </c>
      <c r="G866" s="3" t="s">
        <v>2337</v>
      </c>
      <c r="H866" s="3" t="s">
        <v>2749</v>
      </c>
      <c r="I866" s="3" t="s">
        <v>2816</v>
      </c>
      <c r="M866" s="8" t="n">
        <v>731510</v>
      </c>
      <c r="N866" s="8" t="n">
        <v>338226</v>
      </c>
      <c r="O866" s="9" t="n">
        <v>6.1</v>
      </c>
      <c r="P866" s="9" t="n">
        <v>38</v>
      </c>
      <c r="R866" s="9" t="n">
        <v>1</v>
      </c>
      <c r="T866" s="10" t="n">
        <v>25.2</v>
      </c>
      <c r="U866" s="9" t="n">
        <v>3</v>
      </c>
      <c r="V866" s="3" t="s">
        <v>92</v>
      </c>
      <c r="W866" s="9" t="n">
        <v>0.75</v>
      </c>
      <c r="Z866" s="3" t="s">
        <v>1578</v>
      </c>
      <c r="AA866" s="3" t="s">
        <v>2751</v>
      </c>
      <c r="AB866" s="11" t="n">
        <v>46127</v>
      </c>
    </row>
    <row r="867" customFormat="false" ht="15" hidden="false" customHeight="false" outlineLevel="0" collapsed="false">
      <c r="A867" s="3" t="s">
        <v>2817</v>
      </c>
      <c r="B867" s="3" t="s">
        <v>48</v>
      </c>
      <c r="C867" s="3" t="s">
        <v>2436</v>
      </c>
      <c r="E867" s="3" t="s">
        <v>2818</v>
      </c>
      <c r="F867" s="3" t="s">
        <v>2748</v>
      </c>
      <c r="G867" s="3" t="s">
        <v>2337</v>
      </c>
      <c r="H867" s="3" t="s">
        <v>2749</v>
      </c>
      <c r="I867" s="3" t="s">
        <v>1961</v>
      </c>
      <c r="M867" s="8" t="n">
        <v>821104</v>
      </c>
      <c r="N867" s="8" t="n">
        <v>208486</v>
      </c>
      <c r="O867" s="9" t="n">
        <v>2.3</v>
      </c>
      <c r="P867" s="9" t="n">
        <v>63</v>
      </c>
      <c r="R867" s="9" t="n">
        <v>3</v>
      </c>
      <c r="T867" s="10" t="n">
        <v>28.2</v>
      </c>
      <c r="U867" s="9" t="n">
        <v>9</v>
      </c>
      <c r="V867" s="3" t="s">
        <v>55</v>
      </c>
      <c r="W867" s="9" t="n">
        <v>0.75</v>
      </c>
      <c r="Z867" s="3" t="s">
        <v>1578</v>
      </c>
      <c r="AA867" s="3" t="s">
        <v>2751</v>
      </c>
      <c r="AB867" s="11" t="n">
        <v>46127</v>
      </c>
    </row>
    <row r="868" customFormat="false" ht="15" hidden="false" customHeight="false" outlineLevel="0" collapsed="false">
      <c r="A868" s="3" t="s">
        <v>2819</v>
      </c>
      <c r="B868" s="3" t="s">
        <v>48</v>
      </c>
      <c r="C868" s="3" t="s">
        <v>2440</v>
      </c>
      <c r="E868" s="3" t="s">
        <v>2820</v>
      </c>
      <c r="F868" s="3" t="s">
        <v>2748</v>
      </c>
      <c r="G868" s="3" t="s">
        <v>2337</v>
      </c>
      <c r="H868" s="3" t="s">
        <v>2749</v>
      </c>
      <c r="I868" s="3" t="s">
        <v>2821</v>
      </c>
      <c r="M868" s="8" t="n">
        <v>395077</v>
      </c>
      <c r="N868" s="8" t="n">
        <v>409606</v>
      </c>
      <c r="O868" s="9" t="n">
        <v>17.9</v>
      </c>
      <c r="P868" s="9" t="n">
        <v>58</v>
      </c>
      <c r="R868" s="9" t="n">
        <v>1</v>
      </c>
      <c r="T868" s="10" t="n">
        <v>45.9</v>
      </c>
      <c r="U868" s="9" t="n">
        <v>8</v>
      </c>
      <c r="V868" s="3" t="s">
        <v>92</v>
      </c>
      <c r="W868" s="9" t="n">
        <v>0.75</v>
      </c>
      <c r="Z868" s="3" t="s">
        <v>1578</v>
      </c>
      <c r="AA868" s="3" t="s">
        <v>2751</v>
      </c>
      <c r="AB868" s="11" t="n">
        <v>46127</v>
      </c>
    </row>
    <row r="869" customFormat="false" ht="15" hidden="false" customHeight="false" outlineLevel="0" collapsed="false">
      <c r="A869" s="3" t="s">
        <v>2822</v>
      </c>
      <c r="B869" s="3" t="s">
        <v>48</v>
      </c>
      <c r="C869" s="3" t="s">
        <v>2444</v>
      </c>
      <c r="E869" s="3" t="s">
        <v>2823</v>
      </c>
      <c r="F869" s="3" t="s">
        <v>2748</v>
      </c>
      <c r="G869" s="3" t="s">
        <v>2337</v>
      </c>
      <c r="H869" s="3" t="s">
        <v>2749</v>
      </c>
      <c r="I869" s="3" t="s">
        <v>2824</v>
      </c>
      <c r="M869" s="8" t="n">
        <v>386584</v>
      </c>
      <c r="N869" s="8" t="n">
        <v>616122</v>
      </c>
      <c r="O869" s="9" t="n">
        <v>29.9</v>
      </c>
      <c r="P869" s="9" t="n">
        <v>53</v>
      </c>
      <c r="R869" s="9" t="n">
        <v>1</v>
      </c>
      <c r="T869" s="10" t="n">
        <v>79.5</v>
      </c>
      <c r="U869" s="9" t="n">
        <v>9</v>
      </c>
      <c r="V869" s="3" t="s">
        <v>62</v>
      </c>
      <c r="W869" s="9" t="n">
        <v>0.75</v>
      </c>
      <c r="Z869" s="3" t="s">
        <v>1578</v>
      </c>
      <c r="AA869" s="3" t="s">
        <v>2751</v>
      </c>
      <c r="AB869" s="11" t="n">
        <v>46127</v>
      </c>
    </row>
    <row r="870" customFormat="false" ht="15" hidden="false" customHeight="false" outlineLevel="0" collapsed="false">
      <c r="A870" s="3" t="s">
        <v>2825</v>
      </c>
      <c r="B870" s="3" t="s">
        <v>48</v>
      </c>
      <c r="C870" s="3" t="s">
        <v>2448</v>
      </c>
      <c r="E870" s="3" t="s">
        <v>2826</v>
      </c>
      <c r="F870" s="3" t="s">
        <v>2748</v>
      </c>
      <c r="G870" s="3" t="s">
        <v>2337</v>
      </c>
      <c r="H870" s="3" t="s">
        <v>2749</v>
      </c>
      <c r="I870" s="3" t="s">
        <v>2827</v>
      </c>
      <c r="M870" s="8" t="n">
        <v>258581</v>
      </c>
      <c r="N870" s="8" t="n">
        <v>191220</v>
      </c>
      <c r="O870" s="9" t="n">
        <v>1.8</v>
      </c>
      <c r="P870" s="9" t="n">
        <v>65</v>
      </c>
      <c r="R870" s="9" t="n">
        <v>1</v>
      </c>
      <c r="T870" s="10" t="n">
        <v>58.7</v>
      </c>
      <c r="U870" s="9" t="n">
        <v>3</v>
      </c>
      <c r="V870" s="3" t="s">
        <v>92</v>
      </c>
      <c r="W870" s="9" t="n">
        <v>0.75</v>
      </c>
      <c r="Z870" s="3" t="s">
        <v>1578</v>
      </c>
      <c r="AA870" s="3" t="s">
        <v>2751</v>
      </c>
      <c r="AB870" s="11" t="n">
        <v>46127</v>
      </c>
    </row>
    <row r="871" customFormat="false" ht="15" hidden="false" customHeight="false" outlineLevel="0" collapsed="false">
      <c r="A871" s="3" t="s">
        <v>2828</v>
      </c>
      <c r="B871" s="3" t="s">
        <v>48</v>
      </c>
      <c r="C871" s="3" t="s">
        <v>2452</v>
      </c>
      <c r="E871" s="3" t="s">
        <v>2829</v>
      </c>
      <c r="F871" s="3" t="s">
        <v>2748</v>
      </c>
      <c r="G871" s="3" t="s">
        <v>2337</v>
      </c>
      <c r="H871" s="3" t="s">
        <v>2749</v>
      </c>
      <c r="I871" s="3" t="s">
        <v>2830</v>
      </c>
      <c r="M871" s="8" t="n">
        <v>311658</v>
      </c>
      <c r="N871" s="8" t="n">
        <v>222719</v>
      </c>
      <c r="O871" s="9" t="n">
        <v>19.8</v>
      </c>
      <c r="P871" s="9" t="n">
        <v>64</v>
      </c>
      <c r="R871" s="9" t="n">
        <v>1</v>
      </c>
      <c r="T871" s="10" t="n">
        <v>39.9</v>
      </c>
      <c r="U871" s="9" t="n">
        <v>2</v>
      </c>
      <c r="V871" s="3" t="s">
        <v>83</v>
      </c>
      <c r="W871" s="9" t="n">
        <v>0.75</v>
      </c>
      <c r="Z871" s="3" t="s">
        <v>1578</v>
      </c>
      <c r="AA871" s="3" t="s">
        <v>2751</v>
      </c>
      <c r="AB871" s="11" t="n">
        <v>46127</v>
      </c>
    </row>
    <row r="872" customFormat="false" ht="15" hidden="false" customHeight="false" outlineLevel="0" collapsed="false">
      <c r="A872" s="3" t="s">
        <v>2831</v>
      </c>
      <c r="B872" s="3" t="s">
        <v>48</v>
      </c>
      <c r="C872" s="3" t="s">
        <v>2456</v>
      </c>
      <c r="E872" s="3" t="s">
        <v>2832</v>
      </c>
      <c r="F872" s="3" t="s">
        <v>2748</v>
      </c>
      <c r="G872" s="3" t="s">
        <v>2337</v>
      </c>
      <c r="H872" s="3" t="s">
        <v>2749</v>
      </c>
      <c r="I872" s="3" t="s">
        <v>2833</v>
      </c>
      <c r="M872" s="8" t="n">
        <v>255995</v>
      </c>
      <c r="N872" s="8" t="n">
        <v>447059</v>
      </c>
      <c r="O872" s="9" t="n">
        <v>10.1</v>
      </c>
      <c r="P872" s="9" t="n">
        <v>77</v>
      </c>
      <c r="R872" s="9" t="n">
        <v>1</v>
      </c>
      <c r="T872" s="10" t="n">
        <v>29</v>
      </c>
      <c r="U872" s="9" t="n">
        <v>10</v>
      </c>
      <c r="V872" s="3" t="s">
        <v>83</v>
      </c>
      <c r="W872" s="9" t="n">
        <v>0.75</v>
      </c>
      <c r="Z872" s="3" t="s">
        <v>1578</v>
      </c>
      <c r="AA872" s="3" t="s">
        <v>2751</v>
      </c>
      <c r="AB872" s="11" t="n">
        <v>46127</v>
      </c>
    </row>
    <row r="873" customFormat="false" ht="15" hidden="false" customHeight="false" outlineLevel="0" collapsed="false">
      <c r="A873" s="3" t="s">
        <v>2834</v>
      </c>
      <c r="B873" s="3" t="s">
        <v>48</v>
      </c>
      <c r="C873" s="3" t="s">
        <v>2460</v>
      </c>
      <c r="E873" s="3" t="s">
        <v>279</v>
      </c>
      <c r="F873" s="3" t="s">
        <v>2748</v>
      </c>
      <c r="G873" s="3" t="s">
        <v>2337</v>
      </c>
      <c r="H873" s="3" t="s">
        <v>2749</v>
      </c>
      <c r="I873" s="3" t="s">
        <v>2835</v>
      </c>
      <c r="M873" s="8" t="n">
        <v>563736</v>
      </c>
      <c r="N873" s="8" t="n">
        <v>99854</v>
      </c>
      <c r="O873" s="9" t="n">
        <v>11.8</v>
      </c>
      <c r="P873" s="9" t="n">
        <v>69</v>
      </c>
      <c r="R873" s="9" t="n">
        <v>1</v>
      </c>
      <c r="T873" s="10" t="n">
        <v>28.5</v>
      </c>
      <c r="U873" s="9" t="n">
        <v>1</v>
      </c>
      <c r="V873" s="3" t="s">
        <v>92</v>
      </c>
      <c r="W873" s="9" t="n">
        <v>0.75</v>
      </c>
      <c r="Z873" s="3" t="s">
        <v>1578</v>
      </c>
      <c r="AA873" s="3" t="s">
        <v>2751</v>
      </c>
      <c r="AB873" s="11" t="n">
        <v>46127</v>
      </c>
    </row>
    <row r="874" customFormat="false" ht="15" hidden="false" customHeight="false" outlineLevel="0" collapsed="false">
      <c r="A874" s="3" t="s">
        <v>2836</v>
      </c>
      <c r="B874" s="3" t="s">
        <v>48</v>
      </c>
      <c r="C874" s="3" t="s">
        <v>2464</v>
      </c>
      <c r="E874" s="3" t="s">
        <v>1153</v>
      </c>
      <c r="F874" s="3" t="s">
        <v>2748</v>
      </c>
      <c r="G874" s="3" t="s">
        <v>2337</v>
      </c>
      <c r="H874" s="3" t="s">
        <v>2749</v>
      </c>
      <c r="I874" s="3" t="s">
        <v>2837</v>
      </c>
      <c r="M874" s="8" t="n">
        <v>306592</v>
      </c>
      <c r="N874" s="8" t="n">
        <v>752216</v>
      </c>
      <c r="O874" s="9" t="n">
        <v>5.2</v>
      </c>
      <c r="P874" s="9" t="n">
        <v>38</v>
      </c>
      <c r="R874" s="9" t="n">
        <v>1</v>
      </c>
      <c r="T874" s="10" t="n">
        <v>47.2</v>
      </c>
      <c r="U874" s="9" t="n">
        <v>2</v>
      </c>
      <c r="V874" s="3" t="s">
        <v>92</v>
      </c>
      <c r="W874" s="9" t="n">
        <v>0.75</v>
      </c>
      <c r="Z874" s="3" t="s">
        <v>1578</v>
      </c>
      <c r="AA874" s="3" t="s">
        <v>2751</v>
      </c>
      <c r="AB874" s="11" t="n">
        <v>46127</v>
      </c>
    </row>
    <row r="875" customFormat="false" ht="15" hidden="false" customHeight="false" outlineLevel="0" collapsed="false">
      <c r="A875" s="3" t="s">
        <v>2838</v>
      </c>
      <c r="B875" s="3" t="s">
        <v>48</v>
      </c>
      <c r="C875" s="3" t="s">
        <v>2468</v>
      </c>
      <c r="E875" s="3" t="s">
        <v>2839</v>
      </c>
      <c r="F875" s="3" t="s">
        <v>2748</v>
      </c>
      <c r="G875" s="3" t="s">
        <v>2337</v>
      </c>
      <c r="H875" s="3" t="s">
        <v>2749</v>
      </c>
      <c r="I875" s="3" t="s">
        <v>2840</v>
      </c>
      <c r="M875" s="8" t="n">
        <v>168932</v>
      </c>
      <c r="N875" s="8" t="n">
        <v>224441</v>
      </c>
      <c r="O875" s="9" t="n">
        <v>3.1</v>
      </c>
      <c r="P875" s="9" t="n">
        <v>62</v>
      </c>
      <c r="R875" s="9" t="n">
        <v>1</v>
      </c>
      <c r="T875" s="10" t="n">
        <v>69.2</v>
      </c>
      <c r="U875" s="9" t="n">
        <v>3</v>
      </c>
      <c r="V875" s="3" t="s">
        <v>83</v>
      </c>
      <c r="W875" s="9" t="n">
        <v>0.75</v>
      </c>
      <c r="Z875" s="3" t="s">
        <v>1578</v>
      </c>
      <c r="AA875" s="3" t="s">
        <v>2751</v>
      </c>
      <c r="AB875" s="11" t="n">
        <v>46127</v>
      </c>
    </row>
    <row r="876" customFormat="false" ht="15" hidden="false" customHeight="false" outlineLevel="0" collapsed="false">
      <c r="A876" s="3" t="s">
        <v>2841</v>
      </c>
      <c r="B876" s="3" t="s">
        <v>48</v>
      </c>
      <c r="C876" s="3" t="s">
        <v>2471</v>
      </c>
      <c r="E876" s="3" t="s">
        <v>2842</v>
      </c>
      <c r="F876" s="3" t="s">
        <v>2748</v>
      </c>
      <c r="G876" s="3" t="s">
        <v>2337</v>
      </c>
      <c r="H876" s="3" t="s">
        <v>2749</v>
      </c>
      <c r="I876" s="3" t="s">
        <v>2843</v>
      </c>
      <c r="M876" s="8" t="n">
        <v>685214</v>
      </c>
      <c r="N876" s="8" t="n">
        <v>232308</v>
      </c>
      <c r="O876" s="9" t="n">
        <v>19.2</v>
      </c>
      <c r="P876" s="9" t="n">
        <v>47</v>
      </c>
      <c r="R876" s="9" t="n">
        <v>1</v>
      </c>
      <c r="T876" s="10" t="n">
        <v>31.5</v>
      </c>
      <c r="U876" s="9" t="n">
        <v>9</v>
      </c>
      <c r="V876" s="3" t="s">
        <v>55</v>
      </c>
      <c r="W876" s="9" t="n">
        <v>0.75</v>
      </c>
      <c r="Z876" s="3" t="s">
        <v>1578</v>
      </c>
      <c r="AA876" s="3" t="s">
        <v>2751</v>
      </c>
      <c r="AB876" s="11" t="n">
        <v>46127</v>
      </c>
    </row>
    <row r="877" customFormat="false" ht="15" hidden="false" customHeight="false" outlineLevel="0" collapsed="false">
      <c r="A877" s="3" t="s">
        <v>2844</v>
      </c>
      <c r="B877" s="3" t="s">
        <v>48</v>
      </c>
      <c r="C877" s="3" t="s">
        <v>2475</v>
      </c>
      <c r="E877" s="3" t="s">
        <v>2845</v>
      </c>
      <c r="F877" s="3" t="s">
        <v>2748</v>
      </c>
      <c r="G877" s="3" t="s">
        <v>2337</v>
      </c>
      <c r="H877" s="3" t="s">
        <v>2749</v>
      </c>
      <c r="I877" s="3" t="s">
        <v>2846</v>
      </c>
      <c r="M877" s="8" t="n">
        <v>447480</v>
      </c>
      <c r="N877" s="8" t="n">
        <v>145325</v>
      </c>
      <c r="O877" s="9" t="n">
        <v>9.2</v>
      </c>
      <c r="P877" s="9" t="n">
        <v>48</v>
      </c>
      <c r="R877" s="9" t="n">
        <v>1</v>
      </c>
      <c r="T877" s="10" t="n">
        <v>45.1</v>
      </c>
      <c r="U877" s="9" t="n">
        <v>5</v>
      </c>
      <c r="V877" s="3" t="s">
        <v>83</v>
      </c>
      <c r="W877" s="9" t="n">
        <v>0.75</v>
      </c>
      <c r="Z877" s="3" t="s">
        <v>1578</v>
      </c>
      <c r="AA877" s="3" t="s">
        <v>2751</v>
      </c>
      <c r="AB877" s="11" t="n">
        <v>46127</v>
      </c>
    </row>
    <row r="878" customFormat="false" ht="15" hidden="false" customHeight="false" outlineLevel="0" collapsed="false">
      <c r="A878" s="3" t="s">
        <v>2847</v>
      </c>
      <c r="B878" s="3" t="s">
        <v>48</v>
      </c>
      <c r="C878" s="3" t="s">
        <v>2479</v>
      </c>
      <c r="E878" s="3" t="s">
        <v>1560</v>
      </c>
      <c r="F878" s="3" t="s">
        <v>2748</v>
      </c>
      <c r="G878" s="3" t="s">
        <v>2337</v>
      </c>
      <c r="H878" s="3" t="s">
        <v>2749</v>
      </c>
      <c r="I878" s="3" t="s">
        <v>2848</v>
      </c>
      <c r="M878" s="8" t="n">
        <v>791522</v>
      </c>
      <c r="N878" s="8" t="n">
        <v>548931</v>
      </c>
      <c r="O878" s="9" t="n">
        <v>14.5</v>
      </c>
      <c r="P878" s="9" t="n">
        <v>51</v>
      </c>
      <c r="R878" s="9" t="n">
        <v>3</v>
      </c>
      <c r="T878" s="10" t="n">
        <v>38.2</v>
      </c>
      <c r="U878" s="9" t="n">
        <v>9</v>
      </c>
      <c r="V878" s="3" t="s">
        <v>92</v>
      </c>
      <c r="W878" s="9" t="n">
        <v>0.75</v>
      </c>
      <c r="Z878" s="3" t="s">
        <v>1578</v>
      </c>
      <c r="AA878" s="3" t="s">
        <v>2751</v>
      </c>
      <c r="AB878" s="11" t="n">
        <v>46127</v>
      </c>
    </row>
    <row r="879" customFormat="false" ht="15" hidden="false" customHeight="false" outlineLevel="0" collapsed="false">
      <c r="A879" s="3" t="s">
        <v>2849</v>
      </c>
      <c r="B879" s="3" t="s">
        <v>48</v>
      </c>
      <c r="C879" s="3" t="s">
        <v>2483</v>
      </c>
      <c r="E879" s="3" t="s">
        <v>2850</v>
      </c>
      <c r="F879" s="3" t="s">
        <v>2748</v>
      </c>
      <c r="G879" s="3" t="s">
        <v>2337</v>
      </c>
      <c r="H879" s="3" t="s">
        <v>2749</v>
      </c>
      <c r="I879" s="3" t="s">
        <v>2851</v>
      </c>
      <c r="M879" s="8" t="n">
        <v>138148</v>
      </c>
      <c r="N879" s="8" t="n">
        <v>1068733</v>
      </c>
      <c r="O879" s="9" t="n">
        <v>21.7</v>
      </c>
      <c r="P879" s="9" t="n">
        <v>75</v>
      </c>
      <c r="R879" s="9" t="n">
        <v>1</v>
      </c>
      <c r="T879" s="10" t="n">
        <v>33.3</v>
      </c>
      <c r="U879" s="9" t="n">
        <v>7</v>
      </c>
      <c r="V879" s="3" t="s">
        <v>83</v>
      </c>
      <c r="W879" s="9" t="n">
        <v>0.75</v>
      </c>
      <c r="Z879" s="3" t="s">
        <v>1578</v>
      </c>
      <c r="AA879" s="3" t="s">
        <v>2751</v>
      </c>
      <c r="AB879" s="11" t="n">
        <v>46127</v>
      </c>
    </row>
    <row r="880" customFormat="false" ht="15" hidden="false" customHeight="false" outlineLevel="0" collapsed="false">
      <c r="A880" s="3" t="s">
        <v>2852</v>
      </c>
      <c r="B880" s="3" t="s">
        <v>48</v>
      </c>
      <c r="C880" s="3" t="s">
        <v>2487</v>
      </c>
      <c r="E880" s="3" t="s">
        <v>2853</v>
      </c>
      <c r="F880" s="3" t="s">
        <v>2748</v>
      </c>
      <c r="G880" s="3" t="s">
        <v>2337</v>
      </c>
      <c r="H880" s="3" t="s">
        <v>2749</v>
      </c>
      <c r="I880" s="3" t="s">
        <v>2854</v>
      </c>
      <c r="M880" s="8" t="n">
        <v>213408</v>
      </c>
      <c r="N880" s="8" t="n">
        <v>240248</v>
      </c>
      <c r="O880" s="9" t="n">
        <v>25.4</v>
      </c>
      <c r="P880" s="9" t="n">
        <v>76</v>
      </c>
      <c r="R880" s="9" t="n">
        <v>1</v>
      </c>
      <c r="T880" s="10" t="n">
        <v>63.1</v>
      </c>
      <c r="U880" s="9" t="n">
        <v>8</v>
      </c>
      <c r="V880" s="3" t="s">
        <v>62</v>
      </c>
      <c r="W880" s="9" t="n">
        <v>0.75</v>
      </c>
      <c r="Z880" s="3" t="s">
        <v>1578</v>
      </c>
      <c r="AA880" s="3" t="s">
        <v>2751</v>
      </c>
      <c r="AB880" s="11" t="n">
        <v>46127</v>
      </c>
    </row>
    <row r="881" customFormat="false" ht="15" hidden="false" customHeight="false" outlineLevel="0" collapsed="false">
      <c r="A881" s="3" t="s">
        <v>2855</v>
      </c>
      <c r="B881" s="3" t="s">
        <v>48</v>
      </c>
      <c r="C881" s="3" t="s">
        <v>2491</v>
      </c>
      <c r="E881" s="3" t="s">
        <v>2856</v>
      </c>
      <c r="F881" s="3" t="s">
        <v>2748</v>
      </c>
      <c r="G881" s="3" t="s">
        <v>2337</v>
      </c>
      <c r="H881" s="3" t="s">
        <v>2749</v>
      </c>
      <c r="I881" s="3" t="s">
        <v>2857</v>
      </c>
      <c r="M881" s="8" t="n">
        <v>543194</v>
      </c>
      <c r="N881" s="8" t="n">
        <v>187374</v>
      </c>
      <c r="O881" s="9" t="n">
        <v>27.5</v>
      </c>
      <c r="P881" s="9" t="n">
        <v>53</v>
      </c>
      <c r="R881" s="9" t="n">
        <v>1</v>
      </c>
      <c r="T881" s="10" t="n">
        <v>88.4</v>
      </c>
      <c r="U881" s="9" t="n">
        <v>2</v>
      </c>
      <c r="V881" s="3" t="s">
        <v>92</v>
      </c>
      <c r="W881" s="9" t="n">
        <v>0.75</v>
      </c>
      <c r="Z881" s="3" t="s">
        <v>1578</v>
      </c>
      <c r="AA881" s="3" t="s">
        <v>2751</v>
      </c>
      <c r="AB881" s="11" t="n">
        <v>46127</v>
      </c>
    </row>
    <row r="882" customFormat="false" ht="15" hidden="false" customHeight="false" outlineLevel="0" collapsed="false">
      <c r="A882" s="3" t="s">
        <v>2858</v>
      </c>
      <c r="B882" s="3" t="s">
        <v>48</v>
      </c>
      <c r="C882" s="3" t="s">
        <v>2495</v>
      </c>
      <c r="E882" s="3" t="s">
        <v>1937</v>
      </c>
      <c r="F882" s="3" t="s">
        <v>2748</v>
      </c>
      <c r="G882" s="3" t="s">
        <v>2337</v>
      </c>
      <c r="H882" s="3" t="s">
        <v>2749</v>
      </c>
      <c r="I882" s="3" t="s">
        <v>2859</v>
      </c>
      <c r="M882" s="8" t="n">
        <v>366270</v>
      </c>
      <c r="N882" s="8" t="n">
        <v>123500</v>
      </c>
      <c r="O882" s="9" t="n">
        <v>6</v>
      </c>
      <c r="P882" s="9" t="n">
        <v>59</v>
      </c>
      <c r="R882" s="9" t="n">
        <v>1</v>
      </c>
      <c r="T882" s="10" t="n">
        <v>84.5</v>
      </c>
      <c r="U882" s="9" t="n">
        <v>6</v>
      </c>
      <c r="V882" s="3" t="s">
        <v>62</v>
      </c>
      <c r="W882" s="9" t="n">
        <v>0.75</v>
      </c>
      <c r="Z882" s="3" t="s">
        <v>1578</v>
      </c>
      <c r="AA882" s="3" t="s">
        <v>2751</v>
      </c>
      <c r="AB882" s="11" t="n">
        <v>46127</v>
      </c>
    </row>
    <row r="883" customFormat="false" ht="15" hidden="false" customHeight="false" outlineLevel="0" collapsed="false">
      <c r="A883" s="3" t="s">
        <v>2860</v>
      </c>
      <c r="B883" s="3" t="s">
        <v>48</v>
      </c>
      <c r="C883" s="3" t="s">
        <v>2499</v>
      </c>
      <c r="E883" s="3" t="s">
        <v>2861</v>
      </c>
      <c r="F883" s="3" t="s">
        <v>2748</v>
      </c>
      <c r="G883" s="3" t="s">
        <v>2337</v>
      </c>
      <c r="H883" s="3" t="s">
        <v>2749</v>
      </c>
      <c r="I883" s="3" t="s">
        <v>2862</v>
      </c>
      <c r="M883" s="8" t="n">
        <v>346870</v>
      </c>
      <c r="N883" s="8" t="n">
        <v>350045</v>
      </c>
      <c r="O883" s="9" t="n">
        <v>3.9</v>
      </c>
      <c r="P883" s="9" t="n">
        <v>66</v>
      </c>
      <c r="R883" s="9" t="n">
        <v>1</v>
      </c>
      <c r="T883" s="10" t="n">
        <v>42.6</v>
      </c>
      <c r="U883" s="9" t="n">
        <v>8</v>
      </c>
      <c r="V883" s="3" t="s">
        <v>83</v>
      </c>
      <c r="W883" s="9" t="n">
        <v>0.75</v>
      </c>
      <c r="Z883" s="3" t="s">
        <v>1578</v>
      </c>
      <c r="AA883" s="3" t="s">
        <v>2751</v>
      </c>
      <c r="AB883" s="11" t="n">
        <v>46127</v>
      </c>
    </row>
    <row r="884" customFormat="false" ht="15" hidden="false" customHeight="false" outlineLevel="0" collapsed="false">
      <c r="A884" s="3" t="s">
        <v>2863</v>
      </c>
      <c r="B884" s="3" t="s">
        <v>48</v>
      </c>
      <c r="C884" s="3" t="s">
        <v>2503</v>
      </c>
      <c r="E884" s="3" t="s">
        <v>2864</v>
      </c>
      <c r="F884" s="3" t="s">
        <v>2748</v>
      </c>
      <c r="G884" s="3" t="s">
        <v>2337</v>
      </c>
      <c r="H884" s="3" t="s">
        <v>2749</v>
      </c>
      <c r="I884" s="3" t="s">
        <v>2865</v>
      </c>
      <c r="M884" s="8" t="n">
        <v>367400</v>
      </c>
      <c r="N884" s="8" t="n">
        <v>222671</v>
      </c>
      <c r="O884" s="9" t="n">
        <v>7.5</v>
      </c>
      <c r="P884" s="9" t="n">
        <v>40</v>
      </c>
      <c r="R884" s="9" t="n">
        <v>1</v>
      </c>
      <c r="T884" s="10" t="n">
        <v>60.2</v>
      </c>
      <c r="U884" s="9" t="n">
        <v>7</v>
      </c>
      <c r="V884" s="3" t="s">
        <v>83</v>
      </c>
      <c r="W884" s="9" t="n">
        <v>0.75</v>
      </c>
      <c r="Z884" s="3" t="s">
        <v>1578</v>
      </c>
      <c r="AA884" s="3" t="s">
        <v>2751</v>
      </c>
      <c r="AB884" s="11" t="n">
        <v>46127</v>
      </c>
    </row>
    <row r="885" customFormat="false" ht="15" hidden="false" customHeight="false" outlineLevel="0" collapsed="false">
      <c r="A885" s="3" t="s">
        <v>2866</v>
      </c>
      <c r="B885" s="3" t="s">
        <v>48</v>
      </c>
      <c r="C885" s="3" t="s">
        <v>2507</v>
      </c>
      <c r="E885" s="3" t="s">
        <v>2867</v>
      </c>
      <c r="F885" s="3" t="s">
        <v>2748</v>
      </c>
      <c r="G885" s="3" t="s">
        <v>2337</v>
      </c>
      <c r="H885" s="3" t="s">
        <v>2749</v>
      </c>
      <c r="I885" s="3" t="s">
        <v>2868</v>
      </c>
      <c r="M885" s="8" t="n">
        <v>81829</v>
      </c>
      <c r="N885" s="8" t="n">
        <v>452238</v>
      </c>
      <c r="O885" s="9" t="n">
        <v>11.4</v>
      </c>
      <c r="P885" s="9" t="n">
        <v>75</v>
      </c>
      <c r="R885" s="9" t="n">
        <v>1</v>
      </c>
      <c r="T885" s="10" t="n">
        <v>47</v>
      </c>
      <c r="U885" s="9" t="n">
        <v>2</v>
      </c>
      <c r="V885" s="3" t="s">
        <v>83</v>
      </c>
      <c r="W885" s="9" t="n">
        <v>0.75</v>
      </c>
      <c r="Z885" s="3" t="s">
        <v>1578</v>
      </c>
      <c r="AA885" s="3" t="s">
        <v>2751</v>
      </c>
      <c r="AB885" s="11" t="n">
        <v>46127</v>
      </c>
    </row>
    <row r="886" customFormat="false" ht="15" hidden="false" customHeight="false" outlineLevel="0" collapsed="false">
      <c r="A886" s="3" t="s">
        <v>2869</v>
      </c>
      <c r="B886" s="3" t="s">
        <v>48</v>
      </c>
      <c r="C886" s="3" t="s">
        <v>2511</v>
      </c>
      <c r="E886" s="3" t="s">
        <v>2870</v>
      </c>
      <c r="F886" s="3" t="s">
        <v>2748</v>
      </c>
      <c r="G886" s="3" t="s">
        <v>2337</v>
      </c>
      <c r="H886" s="3" t="s">
        <v>2749</v>
      </c>
      <c r="I886" s="3" t="s">
        <v>2871</v>
      </c>
      <c r="M886" s="8" t="n">
        <v>435518</v>
      </c>
      <c r="N886" s="8" t="n">
        <v>181440</v>
      </c>
      <c r="O886" s="9" t="n">
        <v>9.3</v>
      </c>
      <c r="P886" s="9" t="n">
        <v>52</v>
      </c>
      <c r="R886" s="9" t="n">
        <v>1</v>
      </c>
      <c r="T886" s="10" t="n">
        <v>58.9</v>
      </c>
      <c r="U886" s="9" t="n">
        <v>1</v>
      </c>
      <c r="V886" s="3" t="s">
        <v>92</v>
      </c>
      <c r="W886" s="9" t="n">
        <v>0.75</v>
      </c>
      <c r="Z886" s="3" t="s">
        <v>1578</v>
      </c>
      <c r="AA886" s="3" t="s">
        <v>2751</v>
      </c>
      <c r="AB886" s="11" t="n">
        <v>46127</v>
      </c>
    </row>
    <row r="887" customFormat="false" ht="15" hidden="false" customHeight="false" outlineLevel="0" collapsed="false">
      <c r="A887" s="3" t="s">
        <v>2872</v>
      </c>
      <c r="B887" s="3" t="s">
        <v>48</v>
      </c>
      <c r="C887" s="3" t="s">
        <v>2515</v>
      </c>
      <c r="E887" s="3" t="s">
        <v>2873</v>
      </c>
      <c r="F887" s="3" t="s">
        <v>2748</v>
      </c>
      <c r="G887" s="3" t="s">
        <v>2337</v>
      </c>
      <c r="H887" s="3" t="s">
        <v>2749</v>
      </c>
      <c r="I887" s="3" t="s">
        <v>2874</v>
      </c>
      <c r="M887" s="8" t="n">
        <v>424852</v>
      </c>
      <c r="N887" s="8" t="n">
        <v>169739</v>
      </c>
      <c r="O887" s="9" t="n">
        <v>19.6</v>
      </c>
      <c r="P887" s="9" t="n">
        <v>37</v>
      </c>
      <c r="R887" s="9" t="n">
        <v>2</v>
      </c>
      <c r="T887" s="10" t="n">
        <v>33.5</v>
      </c>
      <c r="U887" s="9" t="n">
        <v>9</v>
      </c>
      <c r="V887" s="3" t="s">
        <v>62</v>
      </c>
      <c r="W887" s="9" t="n">
        <v>0.75</v>
      </c>
      <c r="Z887" s="3" t="s">
        <v>1578</v>
      </c>
      <c r="AA887" s="3" t="s">
        <v>2751</v>
      </c>
      <c r="AB887" s="11" t="n">
        <v>46127</v>
      </c>
    </row>
    <row r="888" customFormat="false" ht="15" hidden="false" customHeight="false" outlineLevel="0" collapsed="false">
      <c r="A888" s="3" t="s">
        <v>2875</v>
      </c>
      <c r="B888" s="3" t="s">
        <v>48</v>
      </c>
      <c r="C888" s="3" t="s">
        <v>2519</v>
      </c>
      <c r="E888" s="3" t="s">
        <v>2876</v>
      </c>
      <c r="F888" s="3" t="s">
        <v>2748</v>
      </c>
      <c r="G888" s="3" t="s">
        <v>2337</v>
      </c>
      <c r="H888" s="3" t="s">
        <v>2749</v>
      </c>
      <c r="I888" s="3" t="s">
        <v>2877</v>
      </c>
      <c r="M888" s="8" t="n">
        <v>279492</v>
      </c>
      <c r="N888" s="8" t="n">
        <v>231651</v>
      </c>
      <c r="O888" s="9" t="n">
        <v>26.3</v>
      </c>
      <c r="P888" s="9" t="n">
        <v>75</v>
      </c>
      <c r="R888" s="9" t="n">
        <v>1</v>
      </c>
      <c r="T888" s="10" t="n">
        <v>76.6</v>
      </c>
      <c r="U888" s="9" t="n">
        <v>1</v>
      </c>
      <c r="V888" s="3" t="s">
        <v>55</v>
      </c>
      <c r="W888" s="9" t="n">
        <v>0.75</v>
      </c>
      <c r="Z888" s="3" t="s">
        <v>1578</v>
      </c>
      <c r="AA888" s="3" t="s">
        <v>2751</v>
      </c>
      <c r="AB888" s="11" t="n">
        <v>46127</v>
      </c>
    </row>
    <row r="889" customFormat="false" ht="15" hidden="false" customHeight="false" outlineLevel="0" collapsed="false">
      <c r="A889" s="3" t="s">
        <v>2878</v>
      </c>
      <c r="B889" s="3" t="s">
        <v>48</v>
      </c>
      <c r="C889" s="3" t="s">
        <v>2523</v>
      </c>
      <c r="E889" s="3" t="s">
        <v>2879</v>
      </c>
      <c r="F889" s="3" t="s">
        <v>2748</v>
      </c>
      <c r="G889" s="3" t="s">
        <v>2337</v>
      </c>
      <c r="H889" s="3" t="s">
        <v>2749</v>
      </c>
      <c r="I889" s="3" t="s">
        <v>2880</v>
      </c>
      <c r="M889" s="8" t="n">
        <v>464990</v>
      </c>
      <c r="N889" s="8" t="n">
        <v>407669</v>
      </c>
      <c r="O889" s="9" t="n">
        <v>8.1</v>
      </c>
      <c r="P889" s="9" t="n">
        <v>68</v>
      </c>
      <c r="R889" s="9" t="n">
        <v>1</v>
      </c>
      <c r="T889" s="10" t="n">
        <v>32.7</v>
      </c>
      <c r="U889" s="9" t="n">
        <v>10</v>
      </c>
      <c r="V889" s="3" t="s">
        <v>92</v>
      </c>
      <c r="W889" s="9" t="n">
        <v>0.75</v>
      </c>
      <c r="Z889" s="3" t="s">
        <v>1578</v>
      </c>
      <c r="AA889" s="3" t="s">
        <v>2751</v>
      </c>
      <c r="AB889" s="11" t="n">
        <v>46127</v>
      </c>
    </row>
    <row r="890" customFormat="false" ht="15" hidden="false" customHeight="false" outlineLevel="0" collapsed="false">
      <c r="A890" s="3" t="s">
        <v>2881</v>
      </c>
      <c r="B890" s="3" t="s">
        <v>48</v>
      </c>
      <c r="C890" s="3" t="s">
        <v>2527</v>
      </c>
      <c r="E890" s="3" t="s">
        <v>2882</v>
      </c>
      <c r="F890" s="3" t="s">
        <v>2748</v>
      </c>
      <c r="G890" s="3" t="s">
        <v>2337</v>
      </c>
      <c r="H890" s="3" t="s">
        <v>2749</v>
      </c>
      <c r="I890" s="3" t="s">
        <v>2883</v>
      </c>
      <c r="M890" s="8" t="n">
        <v>249692</v>
      </c>
      <c r="N890" s="8" t="n">
        <v>113515</v>
      </c>
      <c r="O890" s="9" t="n">
        <v>6.1</v>
      </c>
      <c r="P890" s="9" t="n">
        <v>51</v>
      </c>
      <c r="R890" s="9" t="n">
        <v>1</v>
      </c>
      <c r="T890" s="10" t="n">
        <v>62.8</v>
      </c>
      <c r="U890" s="9" t="n">
        <v>8</v>
      </c>
      <c r="V890" s="3" t="s">
        <v>83</v>
      </c>
      <c r="W890" s="9" t="n">
        <v>0.75</v>
      </c>
      <c r="Z890" s="3" t="s">
        <v>1578</v>
      </c>
      <c r="AA890" s="3" t="s">
        <v>2751</v>
      </c>
      <c r="AB890" s="11" t="n">
        <v>46127</v>
      </c>
    </row>
    <row r="891" customFormat="false" ht="15" hidden="false" customHeight="false" outlineLevel="0" collapsed="false">
      <c r="A891" s="3" t="s">
        <v>2884</v>
      </c>
      <c r="B891" s="3" t="s">
        <v>48</v>
      </c>
      <c r="C891" s="3" t="s">
        <v>2531</v>
      </c>
      <c r="E891" s="3" t="s">
        <v>579</v>
      </c>
      <c r="F891" s="3" t="s">
        <v>2748</v>
      </c>
      <c r="G891" s="3" t="s">
        <v>2337</v>
      </c>
      <c r="H891" s="3" t="s">
        <v>2749</v>
      </c>
      <c r="I891" s="3" t="s">
        <v>2885</v>
      </c>
      <c r="M891" s="8" t="n">
        <v>338338</v>
      </c>
      <c r="N891" s="8" t="n">
        <v>132839</v>
      </c>
      <c r="O891" s="9" t="n">
        <v>1.5</v>
      </c>
      <c r="P891" s="9" t="n">
        <v>67</v>
      </c>
      <c r="R891" s="9" t="n">
        <v>1</v>
      </c>
      <c r="T891" s="10" t="n">
        <v>69.7</v>
      </c>
      <c r="U891" s="9" t="n">
        <v>5</v>
      </c>
      <c r="V891" s="3" t="s">
        <v>62</v>
      </c>
      <c r="W891" s="9" t="n">
        <v>0.75</v>
      </c>
      <c r="Z891" s="3" t="s">
        <v>1578</v>
      </c>
      <c r="AA891" s="3" t="s">
        <v>2751</v>
      </c>
      <c r="AB891" s="11" t="n">
        <v>46127</v>
      </c>
    </row>
    <row r="892" customFormat="false" ht="15" hidden="false" customHeight="false" outlineLevel="0" collapsed="false">
      <c r="A892" s="3" t="s">
        <v>2886</v>
      </c>
      <c r="B892" s="3" t="s">
        <v>48</v>
      </c>
      <c r="C892" s="3" t="s">
        <v>2535</v>
      </c>
      <c r="E892" s="3" t="s">
        <v>2887</v>
      </c>
      <c r="F892" s="3" t="s">
        <v>2748</v>
      </c>
      <c r="G892" s="3" t="s">
        <v>2337</v>
      </c>
      <c r="H892" s="3" t="s">
        <v>2749</v>
      </c>
      <c r="I892" s="3" t="s">
        <v>2888</v>
      </c>
      <c r="M892" s="8" t="n">
        <v>296960</v>
      </c>
      <c r="N892" s="8" t="n">
        <v>178752</v>
      </c>
      <c r="O892" s="9" t="n">
        <v>23.9</v>
      </c>
      <c r="P892" s="9" t="n">
        <v>37</v>
      </c>
      <c r="R892" s="9" t="n">
        <v>1</v>
      </c>
      <c r="T892" s="10" t="n">
        <v>34.5</v>
      </c>
      <c r="U892" s="9" t="n">
        <v>1</v>
      </c>
      <c r="V892" s="3" t="s">
        <v>83</v>
      </c>
      <c r="W892" s="9" t="n">
        <v>0.75</v>
      </c>
      <c r="Z892" s="3" t="s">
        <v>1578</v>
      </c>
      <c r="AA892" s="3" t="s">
        <v>2751</v>
      </c>
      <c r="AB892" s="11" t="n">
        <v>46127</v>
      </c>
    </row>
    <row r="893" customFormat="false" ht="15" hidden="false" customHeight="false" outlineLevel="0" collapsed="false">
      <c r="A893" s="3" t="s">
        <v>2889</v>
      </c>
      <c r="B893" s="3" t="s">
        <v>48</v>
      </c>
      <c r="C893" s="3" t="s">
        <v>2539</v>
      </c>
      <c r="E893" s="3" t="s">
        <v>2890</v>
      </c>
      <c r="F893" s="3" t="s">
        <v>2748</v>
      </c>
      <c r="G893" s="3" t="s">
        <v>2337</v>
      </c>
      <c r="H893" s="3" t="s">
        <v>2749</v>
      </c>
      <c r="I893" s="3" t="s">
        <v>2891</v>
      </c>
      <c r="M893" s="8" t="n">
        <v>272092</v>
      </c>
      <c r="N893" s="8" t="n">
        <v>239972</v>
      </c>
      <c r="O893" s="9" t="n">
        <v>27.9</v>
      </c>
      <c r="P893" s="9" t="n">
        <v>50</v>
      </c>
      <c r="R893" s="9" t="n">
        <v>1</v>
      </c>
      <c r="T893" s="10" t="n">
        <v>23.3</v>
      </c>
      <c r="U893" s="9" t="n">
        <v>4</v>
      </c>
      <c r="V893" s="3" t="s">
        <v>62</v>
      </c>
      <c r="W893" s="9" t="n">
        <v>0.75</v>
      </c>
      <c r="Z893" s="3" t="s">
        <v>1578</v>
      </c>
      <c r="AA893" s="3" t="s">
        <v>2751</v>
      </c>
      <c r="AB893" s="11" t="n">
        <v>46127</v>
      </c>
    </row>
    <row r="894" customFormat="false" ht="15" hidden="false" customHeight="false" outlineLevel="0" collapsed="false">
      <c r="A894" s="3" t="s">
        <v>2892</v>
      </c>
      <c r="B894" s="3" t="s">
        <v>48</v>
      </c>
      <c r="C894" s="3" t="s">
        <v>2543</v>
      </c>
      <c r="E894" s="3" t="s">
        <v>2893</v>
      </c>
      <c r="F894" s="3" t="s">
        <v>2748</v>
      </c>
      <c r="G894" s="3" t="s">
        <v>2337</v>
      </c>
      <c r="H894" s="3" t="s">
        <v>2749</v>
      </c>
      <c r="I894" s="3" t="s">
        <v>2894</v>
      </c>
      <c r="M894" s="8" t="n">
        <v>140405</v>
      </c>
      <c r="N894" s="8" t="n">
        <v>140754</v>
      </c>
      <c r="O894" s="9" t="n">
        <v>25.6</v>
      </c>
      <c r="P894" s="9" t="n">
        <v>44</v>
      </c>
      <c r="R894" s="9" t="n">
        <v>1</v>
      </c>
      <c r="T894" s="10" t="n">
        <v>64</v>
      </c>
      <c r="U894" s="9" t="n">
        <v>8</v>
      </c>
      <c r="V894" s="3" t="s">
        <v>55</v>
      </c>
      <c r="W894" s="9" t="n">
        <v>0.75</v>
      </c>
      <c r="Z894" s="3" t="s">
        <v>1578</v>
      </c>
      <c r="AA894" s="3" t="s">
        <v>2751</v>
      </c>
      <c r="AB894" s="11" t="n">
        <v>46127</v>
      </c>
    </row>
    <row r="895" customFormat="false" ht="15" hidden="false" customHeight="false" outlineLevel="0" collapsed="false">
      <c r="A895" s="3" t="s">
        <v>2895</v>
      </c>
      <c r="B895" s="3" t="s">
        <v>48</v>
      </c>
      <c r="C895" s="3" t="s">
        <v>2547</v>
      </c>
      <c r="E895" s="3" t="s">
        <v>2896</v>
      </c>
      <c r="F895" s="3" t="s">
        <v>2748</v>
      </c>
      <c r="G895" s="3" t="s">
        <v>2337</v>
      </c>
      <c r="H895" s="3" t="s">
        <v>2749</v>
      </c>
      <c r="I895" s="3" t="s">
        <v>2897</v>
      </c>
      <c r="M895" s="8" t="n">
        <v>448518</v>
      </c>
      <c r="N895" s="8" t="n">
        <v>195818</v>
      </c>
      <c r="O895" s="9" t="n">
        <v>18.4</v>
      </c>
      <c r="P895" s="9" t="n">
        <v>53</v>
      </c>
      <c r="R895" s="9" t="n">
        <v>1</v>
      </c>
      <c r="T895" s="10" t="n">
        <v>53.7</v>
      </c>
      <c r="U895" s="9" t="n">
        <v>2</v>
      </c>
      <c r="V895" s="3" t="s">
        <v>92</v>
      </c>
      <c r="W895" s="9" t="n">
        <v>0.75</v>
      </c>
      <c r="Z895" s="3" t="s">
        <v>1578</v>
      </c>
      <c r="AA895" s="3" t="s">
        <v>2751</v>
      </c>
      <c r="AB895" s="11" t="n">
        <v>46127</v>
      </c>
    </row>
    <row r="896" customFormat="false" ht="15" hidden="false" customHeight="false" outlineLevel="0" collapsed="false">
      <c r="A896" s="3" t="s">
        <v>2898</v>
      </c>
      <c r="B896" s="3" t="s">
        <v>48</v>
      </c>
      <c r="C896" s="3" t="s">
        <v>2551</v>
      </c>
      <c r="E896" s="3" t="s">
        <v>2899</v>
      </c>
      <c r="F896" s="3" t="s">
        <v>2748</v>
      </c>
      <c r="G896" s="3" t="s">
        <v>2337</v>
      </c>
      <c r="H896" s="3" t="s">
        <v>2749</v>
      </c>
      <c r="I896" s="3" t="s">
        <v>2900</v>
      </c>
      <c r="M896" s="8" t="n">
        <v>183544</v>
      </c>
      <c r="N896" s="8" t="n">
        <v>256847</v>
      </c>
      <c r="O896" s="9" t="n">
        <v>5</v>
      </c>
      <c r="P896" s="9" t="n">
        <v>59</v>
      </c>
      <c r="R896" s="9" t="n">
        <v>1</v>
      </c>
      <c r="T896" s="10" t="n">
        <v>39.1</v>
      </c>
      <c r="U896" s="9" t="n">
        <v>8</v>
      </c>
      <c r="V896" s="3" t="s">
        <v>92</v>
      </c>
      <c r="W896" s="9" t="n">
        <v>0.75</v>
      </c>
      <c r="Z896" s="3" t="s">
        <v>1578</v>
      </c>
      <c r="AA896" s="3" t="s">
        <v>2751</v>
      </c>
      <c r="AB896" s="11" t="n">
        <v>46127</v>
      </c>
    </row>
    <row r="897" customFormat="false" ht="15" hidden="false" customHeight="false" outlineLevel="0" collapsed="false">
      <c r="A897" s="3" t="s">
        <v>2901</v>
      </c>
      <c r="B897" s="3" t="s">
        <v>48</v>
      </c>
      <c r="C897" s="3" t="s">
        <v>2555</v>
      </c>
      <c r="E897" s="3" t="s">
        <v>2902</v>
      </c>
      <c r="F897" s="3" t="s">
        <v>2748</v>
      </c>
      <c r="G897" s="3" t="s">
        <v>2337</v>
      </c>
      <c r="H897" s="3" t="s">
        <v>2749</v>
      </c>
      <c r="I897" s="3" t="s">
        <v>641</v>
      </c>
      <c r="M897" s="8" t="n">
        <v>397060</v>
      </c>
      <c r="N897" s="8" t="n">
        <v>352944</v>
      </c>
      <c r="O897" s="9" t="n">
        <v>28.2</v>
      </c>
      <c r="P897" s="9" t="n">
        <v>47</v>
      </c>
      <c r="R897" s="9" t="n">
        <v>1</v>
      </c>
      <c r="T897" s="10" t="n">
        <v>82</v>
      </c>
      <c r="U897" s="9" t="n">
        <v>4</v>
      </c>
      <c r="V897" s="3" t="s">
        <v>83</v>
      </c>
      <c r="W897" s="9" t="n">
        <v>0.75</v>
      </c>
      <c r="Z897" s="3" t="s">
        <v>1578</v>
      </c>
      <c r="AA897" s="3" t="s">
        <v>2751</v>
      </c>
      <c r="AB897" s="11" t="n">
        <v>46127</v>
      </c>
    </row>
    <row r="898" customFormat="false" ht="15" hidden="false" customHeight="false" outlineLevel="0" collapsed="false">
      <c r="A898" s="3" t="s">
        <v>2903</v>
      </c>
      <c r="B898" s="3" t="s">
        <v>48</v>
      </c>
      <c r="C898" s="3" t="s">
        <v>2559</v>
      </c>
      <c r="E898" s="3" t="s">
        <v>2904</v>
      </c>
      <c r="F898" s="3" t="s">
        <v>2748</v>
      </c>
      <c r="G898" s="3" t="s">
        <v>2337</v>
      </c>
      <c r="H898" s="3" t="s">
        <v>2749</v>
      </c>
      <c r="I898" s="3" t="s">
        <v>2905</v>
      </c>
      <c r="M898" s="8" t="n">
        <v>749595</v>
      </c>
      <c r="N898" s="8" t="n">
        <v>245491</v>
      </c>
      <c r="O898" s="9" t="n">
        <v>13.6</v>
      </c>
      <c r="P898" s="9" t="n">
        <v>42</v>
      </c>
      <c r="R898" s="9" t="n">
        <v>1</v>
      </c>
      <c r="T898" s="10" t="n">
        <v>39.6</v>
      </c>
      <c r="U898" s="9" t="n">
        <v>2</v>
      </c>
      <c r="V898" s="3" t="s">
        <v>92</v>
      </c>
      <c r="W898" s="9" t="n">
        <v>0.75</v>
      </c>
      <c r="Z898" s="3" t="s">
        <v>1578</v>
      </c>
      <c r="AA898" s="3" t="s">
        <v>2751</v>
      </c>
      <c r="AB898" s="11" t="n">
        <v>46127</v>
      </c>
    </row>
    <row r="899" customFormat="false" ht="15" hidden="false" customHeight="false" outlineLevel="0" collapsed="false">
      <c r="A899" s="3" t="s">
        <v>2906</v>
      </c>
      <c r="B899" s="3" t="s">
        <v>48</v>
      </c>
      <c r="C899" s="3" t="s">
        <v>2563</v>
      </c>
      <c r="E899" s="3" t="s">
        <v>1871</v>
      </c>
      <c r="F899" s="3" t="s">
        <v>2748</v>
      </c>
      <c r="G899" s="3" t="s">
        <v>2337</v>
      </c>
      <c r="H899" s="3" t="s">
        <v>2749</v>
      </c>
      <c r="I899" s="3" t="s">
        <v>2907</v>
      </c>
      <c r="M899" s="8" t="n">
        <v>739768</v>
      </c>
      <c r="N899" s="8" t="n">
        <v>312270</v>
      </c>
      <c r="O899" s="9" t="n">
        <v>26.9</v>
      </c>
      <c r="P899" s="9" t="n">
        <v>56</v>
      </c>
      <c r="R899" s="9" t="n">
        <v>1</v>
      </c>
      <c r="T899" s="10" t="n">
        <v>68.7</v>
      </c>
      <c r="U899" s="9" t="n">
        <v>8</v>
      </c>
      <c r="V899" s="3" t="s">
        <v>83</v>
      </c>
      <c r="W899" s="9" t="n">
        <v>0.75</v>
      </c>
      <c r="Z899" s="3" t="s">
        <v>1578</v>
      </c>
      <c r="AA899" s="3" t="s">
        <v>2751</v>
      </c>
      <c r="AB899" s="11" t="n">
        <v>46127</v>
      </c>
    </row>
    <row r="900" customFormat="false" ht="15" hidden="false" customHeight="false" outlineLevel="0" collapsed="false">
      <c r="A900" s="3" t="s">
        <v>2908</v>
      </c>
      <c r="B900" s="3" t="s">
        <v>48</v>
      </c>
      <c r="C900" s="3" t="s">
        <v>2567</v>
      </c>
      <c r="E900" s="3" t="s">
        <v>2909</v>
      </c>
      <c r="F900" s="3" t="s">
        <v>2748</v>
      </c>
      <c r="G900" s="3" t="s">
        <v>2337</v>
      </c>
      <c r="H900" s="3" t="s">
        <v>2749</v>
      </c>
      <c r="I900" s="3" t="s">
        <v>2910</v>
      </c>
      <c r="M900" s="8" t="n">
        <v>251455</v>
      </c>
      <c r="N900" s="8" t="n">
        <v>159452</v>
      </c>
      <c r="O900" s="9" t="n">
        <v>11.1</v>
      </c>
      <c r="P900" s="9" t="n">
        <v>45</v>
      </c>
      <c r="R900" s="9" t="n">
        <v>1</v>
      </c>
      <c r="T900" s="10" t="n">
        <v>27.8</v>
      </c>
      <c r="U900" s="9" t="n">
        <v>5</v>
      </c>
      <c r="V900" s="3" t="s">
        <v>62</v>
      </c>
      <c r="W900" s="9" t="n">
        <v>0.75</v>
      </c>
      <c r="Z900" s="3" t="s">
        <v>1578</v>
      </c>
      <c r="AA900" s="3" t="s">
        <v>2751</v>
      </c>
      <c r="AB900" s="11" t="n">
        <v>46127</v>
      </c>
    </row>
    <row r="901" customFormat="false" ht="15" hidden="false" customHeight="false" outlineLevel="0" collapsed="false">
      <c r="A901" s="3" t="s">
        <v>2911</v>
      </c>
      <c r="B901" s="3" t="s">
        <v>48</v>
      </c>
      <c r="C901" s="3" t="s">
        <v>2571</v>
      </c>
      <c r="E901" s="3" t="s">
        <v>1641</v>
      </c>
      <c r="F901" s="3" t="s">
        <v>2748</v>
      </c>
      <c r="G901" s="3" t="s">
        <v>2337</v>
      </c>
      <c r="H901" s="3" t="s">
        <v>2749</v>
      </c>
      <c r="I901" s="3" t="s">
        <v>2912</v>
      </c>
      <c r="M901" s="8" t="n">
        <v>732213</v>
      </c>
      <c r="N901" s="8" t="n">
        <v>274867</v>
      </c>
      <c r="O901" s="9" t="n">
        <v>2.1</v>
      </c>
      <c r="P901" s="9" t="n">
        <v>40</v>
      </c>
      <c r="R901" s="9" t="n">
        <v>1</v>
      </c>
      <c r="T901" s="10" t="n">
        <v>51.1</v>
      </c>
      <c r="U901" s="9" t="n">
        <v>7</v>
      </c>
      <c r="V901" s="3" t="s">
        <v>55</v>
      </c>
      <c r="W901" s="9" t="n">
        <v>0.75</v>
      </c>
      <c r="Z901" s="3" t="s">
        <v>1578</v>
      </c>
      <c r="AA901" s="3" t="s">
        <v>2751</v>
      </c>
      <c r="AB901" s="11" t="n">
        <v>46127</v>
      </c>
    </row>
    <row r="902" customFormat="false" ht="15" hidden="false" customHeight="false" outlineLevel="0" collapsed="false">
      <c r="A902" s="3" t="s">
        <v>2913</v>
      </c>
      <c r="B902" s="3" t="s">
        <v>378</v>
      </c>
      <c r="C902" s="3" t="s">
        <v>2334</v>
      </c>
      <c r="D902" s="3" t="s">
        <v>391</v>
      </c>
      <c r="E902" s="3" t="s">
        <v>2914</v>
      </c>
      <c r="F902" s="3" t="s">
        <v>2748</v>
      </c>
      <c r="G902" s="3" t="s">
        <v>2337</v>
      </c>
      <c r="H902" s="3" t="s">
        <v>2749</v>
      </c>
      <c r="I902" s="3" t="s">
        <v>2915</v>
      </c>
      <c r="M902" s="8" t="n">
        <v>861350</v>
      </c>
      <c r="P902" s="9" t="n">
        <v>40</v>
      </c>
      <c r="Q902" s="9" t="n">
        <v>17.3</v>
      </c>
      <c r="R902" s="9" t="n">
        <v>1</v>
      </c>
      <c r="S902" s="8" t="n">
        <v>315002</v>
      </c>
      <c r="T902" s="10" t="n">
        <v>87.9</v>
      </c>
      <c r="U902" s="9" t="n">
        <v>7</v>
      </c>
      <c r="V902" s="3" t="s">
        <v>55</v>
      </c>
      <c r="W902" s="9" t="n">
        <v>0.75</v>
      </c>
      <c r="Z902" s="3" t="s">
        <v>1578</v>
      </c>
      <c r="AA902" s="3" t="s">
        <v>2916</v>
      </c>
      <c r="AB902" s="11" t="n">
        <v>46127</v>
      </c>
    </row>
    <row r="903" customFormat="false" ht="15" hidden="false" customHeight="false" outlineLevel="0" collapsed="false">
      <c r="A903" s="3" t="s">
        <v>2917</v>
      </c>
      <c r="B903" s="3" t="s">
        <v>378</v>
      </c>
      <c r="C903" s="3" t="s">
        <v>2342</v>
      </c>
      <c r="D903" s="3" t="s">
        <v>391</v>
      </c>
      <c r="E903" s="3" t="s">
        <v>2918</v>
      </c>
      <c r="F903" s="3" t="s">
        <v>2748</v>
      </c>
      <c r="G903" s="3" t="s">
        <v>2337</v>
      </c>
      <c r="H903" s="3" t="s">
        <v>2749</v>
      </c>
      <c r="I903" s="3" t="s">
        <v>999</v>
      </c>
      <c r="M903" s="8" t="n">
        <v>827712</v>
      </c>
      <c r="P903" s="9" t="n">
        <v>63</v>
      </c>
      <c r="Q903" s="9" t="n">
        <v>13.8</v>
      </c>
      <c r="R903" s="9" t="n">
        <v>1</v>
      </c>
      <c r="S903" s="8" t="n">
        <v>365345</v>
      </c>
      <c r="T903" s="10" t="n">
        <v>81.2</v>
      </c>
      <c r="U903" s="9" t="n">
        <v>5</v>
      </c>
      <c r="V903" s="3" t="s">
        <v>83</v>
      </c>
      <c r="W903" s="9" t="n">
        <v>0.75</v>
      </c>
      <c r="Z903" s="3" t="s">
        <v>1578</v>
      </c>
      <c r="AA903" s="3" t="s">
        <v>2916</v>
      </c>
      <c r="AB903" s="11" t="n">
        <v>46127</v>
      </c>
    </row>
    <row r="904" customFormat="false" ht="15" hidden="false" customHeight="false" outlineLevel="0" collapsed="false">
      <c r="A904" s="3" t="s">
        <v>2919</v>
      </c>
      <c r="B904" s="3" t="s">
        <v>378</v>
      </c>
      <c r="C904" s="3" t="s">
        <v>2346</v>
      </c>
      <c r="D904" s="3" t="s">
        <v>384</v>
      </c>
      <c r="E904" s="3" t="s">
        <v>2920</v>
      </c>
      <c r="F904" s="3" t="s">
        <v>2748</v>
      </c>
      <c r="G904" s="3" t="s">
        <v>2337</v>
      </c>
      <c r="H904" s="3" t="s">
        <v>2749</v>
      </c>
      <c r="I904" s="3" t="s">
        <v>2921</v>
      </c>
      <c r="M904" s="8" t="n">
        <v>345632</v>
      </c>
      <c r="P904" s="9" t="n">
        <v>46</v>
      </c>
      <c r="Q904" s="9" t="n">
        <v>24</v>
      </c>
      <c r="R904" s="9" t="n">
        <v>1</v>
      </c>
      <c r="S904" s="8" t="n">
        <v>924454</v>
      </c>
      <c r="T904" s="10" t="n">
        <v>37.8</v>
      </c>
      <c r="U904" s="9" t="n">
        <v>5</v>
      </c>
      <c r="V904" s="3" t="s">
        <v>55</v>
      </c>
      <c r="W904" s="9" t="n">
        <v>0.75</v>
      </c>
      <c r="Z904" s="3" t="s">
        <v>1578</v>
      </c>
      <c r="AA904" s="3" t="s">
        <v>2916</v>
      </c>
      <c r="AB904" s="11" t="n">
        <v>46127</v>
      </c>
    </row>
    <row r="905" customFormat="false" ht="15" hidden="false" customHeight="false" outlineLevel="0" collapsed="false">
      <c r="A905" s="3" t="s">
        <v>2922</v>
      </c>
      <c r="B905" s="3" t="s">
        <v>378</v>
      </c>
      <c r="C905" s="3" t="s">
        <v>2350</v>
      </c>
      <c r="D905" s="3" t="s">
        <v>384</v>
      </c>
      <c r="E905" s="3" t="s">
        <v>2923</v>
      </c>
      <c r="F905" s="3" t="s">
        <v>2748</v>
      </c>
      <c r="G905" s="3" t="s">
        <v>2337</v>
      </c>
      <c r="H905" s="3" t="s">
        <v>2749</v>
      </c>
      <c r="I905" s="3" t="s">
        <v>2924</v>
      </c>
      <c r="M905" s="8" t="n">
        <v>107074</v>
      </c>
      <c r="P905" s="9" t="n">
        <v>62</v>
      </c>
      <c r="Q905" s="9" t="n">
        <v>7.1</v>
      </c>
      <c r="R905" s="9" t="n">
        <v>1</v>
      </c>
      <c r="S905" s="8" t="n">
        <v>445988</v>
      </c>
      <c r="T905" s="10" t="n">
        <v>47.5</v>
      </c>
      <c r="U905" s="9" t="n">
        <v>3</v>
      </c>
      <c r="V905" s="3" t="s">
        <v>83</v>
      </c>
      <c r="W905" s="9" t="n">
        <v>0.75</v>
      </c>
      <c r="Z905" s="3" t="s">
        <v>1578</v>
      </c>
      <c r="AA905" s="3" t="s">
        <v>2916</v>
      </c>
      <c r="AB905" s="11" t="n">
        <v>46127</v>
      </c>
    </row>
    <row r="906" customFormat="false" ht="15" hidden="false" customHeight="false" outlineLevel="0" collapsed="false">
      <c r="A906" s="3" t="s">
        <v>2925</v>
      </c>
      <c r="B906" s="3" t="s">
        <v>378</v>
      </c>
      <c r="C906" s="3" t="s">
        <v>2354</v>
      </c>
      <c r="D906" s="3" t="s">
        <v>384</v>
      </c>
      <c r="E906" s="3" t="s">
        <v>2926</v>
      </c>
      <c r="F906" s="3" t="s">
        <v>2748</v>
      </c>
      <c r="G906" s="3" t="s">
        <v>2337</v>
      </c>
      <c r="H906" s="3" t="s">
        <v>2749</v>
      </c>
      <c r="I906" s="3" t="s">
        <v>2927</v>
      </c>
      <c r="M906" s="8" t="n">
        <v>566048</v>
      </c>
      <c r="P906" s="9" t="n">
        <v>49</v>
      </c>
      <c r="Q906" s="9" t="n">
        <v>9.4</v>
      </c>
      <c r="R906" s="9" t="n">
        <v>1</v>
      </c>
      <c r="S906" s="8" t="n">
        <v>1066453</v>
      </c>
      <c r="T906" s="10" t="n">
        <v>88.8</v>
      </c>
      <c r="U906" s="9" t="n">
        <v>10</v>
      </c>
      <c r="V906" s="3" t="s">
        <v>83</v>
      </c>
      <c r="W906" s="9" t="n">
        <v>0.75</v>
      </c>
      <c r="Z906" s="3" t="s">
        <v>1578</v>
      </c>
      <c r="AA906" s="3" t="s">
        <v>2916</v>
      </c>
      <c r="AB906" s="11" t="n">
        <v>46127</v>
      </c>
    </row>
    <row r="907" customFormat="false" ht="15" hidden="false" customHeight="false" outlineLevel="0" collapsed="false">
      <c r="A907" s="3" t="s">
        <v>2928</v>
      </c>
      <c r="B907" s="3" t="s">
        <v>378</v>
      </c>
      <c r="C907" s="3" t="s">
        <v>2358</v>
      </c>
      <c r="D907" s="3" t="s">
        <v>379</v>
      </c>
      <c r="E907" s="3" t="s">
        <v>2812</v>
      </c>
      <c r="F907" s="3" t="s">
        <v>2748</v>
      </c>
      <c r="G907" s="3" t="s">
        <v>2337</v>
      </c>
      <c r="H907" s="3" t="s">
        <v>2749</v>
      </c>
      <c r="I907" s="3" t="s">
        <v>2929</v>
      </c>
      <c r="M907" s="8" t="n">
        <v>308189</v>
      </c>
      <c r="P907" s="9" t="n">
        <v>69</v>
      </c>
      <c r="Q907" s="9" t="n">
        <v>13.2</v>
      </c>
      <c r="R907" s="9" t="n">
        <v>1</v>
      </c>
      <c r="S907" s="8" t="n">
        <v>662130</v>
      </c>
      <c r="T907" s="10" t="n">
        <v>80.9</v>
      </c>
      <c r="U907" s="9" t="n">
        <v>4</v>
      </c>
      <c r="V907" s="3" t="s">
        <v>55</v>
      </c>
      <c r="W907" s="9" t="n">
        <v>0.75</v>
      </c>
      <c r="Z907" s="3" t="s">
        <v>1578</v>
      </c>
      <c r="AA907" s="3" t="s">
        <v>2916</v>
      </c>
      <c r="AB907" s="11" t="n">
        <v>46127</v>
      </c>
    </row>
    <row r="908" customFormat="false" ht="15" hidden="false" customHeight="false" outlineLevel="0" collapsed="false">
      <c r="A908" s="3" t="s">
        <v>2930</v>
      </c>
      <c r="B908" s="3" t="s">
        <v>378</v>
      </c>
      <c r="C908" s="3" t="s">
        <v>2362</v>
      </c>
      <c r="D908" s="3" t="s">
        <v>384</v>
      </c>
      <c r="E908" s="3" t="s">
        <v>2931</v>
      </c>
      <c r="F908" s="3" t="s">
        <v>2748</v>
      </c>
      <c r="G908" s="3" t="s">
        <v>2337</v>
      </c>
      <c r="H908" s="3" t="s">
        <v>2749</v>
      </c>
      <c r="I908" s="3" t="s">
        <v>2932</v>
      </c>
      <c r="M908" s="8" t="n">
        <v>278410</v>
      </c>
      <c r="P908" s="9" t="n">
        <v>57</v>
      </c>
      <c r="Q908" s="9" t="n">
        <v>8.5</v>
      </c>
      <c r="R908" s="9" t="n">
        <v>1</v>
      </c>
      <c r="S908" s="8" t="n">
        <v>722999</v>
      </c>
      <c r="T908" s="10" t="n">
        <v>59.2</v>
      </c>
      <c r="U908" s="9" t="n">
        <v>2</v>
      </c>
      <c r="V908" s="3" t="s">
        <v>55</v>
      </c>
      <c r="W908" s="9" t="n">
        <v>0.75</v>
      </c>
      <c r="Z908" s="3" t="s">
        <v>1578</v>
      </c>
      <c r="AA908" s="3" t="s">
        <v>2916</v>
      </c>
      <c r="AB908" s="11" t="n">
        <v>46127</v>
      </c>
    </row>
    <row r="909" customFormat="false" ht="15" hidden="false" customHeight="false" outlineLevel="0" collapsed="false">
      <c r="A909" s="3" t="s">
        <v>2933</v>
      </c>
      <c r="B909" s="3" t="s">
        <v>378</v>
      </c>
      <c r="C909" s="3" t="s">
        <v>2366</v>
      </c>
      <c r="D909" s="3" t="s">
        <v>391</v>
      </c>
      <c r="E909" s="3" t="s">
        <v>2934</v>
      </c>
      <c r="F909" s="3" t="s">
        <v>2748</v>
      </c>
      <c r="G909" s="3" t="s">
        <v>2337</v>
      </c>
      <c r="H909" s="3" t="s">
        <v>2749</v>
      </c>
      <c r="I909" s="3" t="s">
        <v>2935</v>
      </c>
      <c r="M909" s="8" t="n">
        <v>413453</v>
      </c>
      <c r="P909" s="9" t="n">
        <v>56</v>
      </c>
      <c r="Q909" s="9" t="n">
        <v>14.1</v>
      </c>
      <c r="R909" s="9" t="n">
        <v>1</v>
      </c>
      <c r="S909" s="8" t="n">
        <v>1118119</v>
      </c>
      <c r="T909" s="10" t="n">
        <v>22.1</v>
      </c>
      <c r="U909" s="9" t="n">
        <v>1</v>
      </c>
      <c r="V909" s="3" t="s">
        <v>92</v>
      </c>
      <c r="W909" s="9" t="n">
        <v>0.75</v>
      </c>
      <c r="Z909" s="3" t="s">
        <v>1578</v>
      </c>
      <c r="AA909" s="3" t="s">
        <v>2916</v>
      </c>
      <c r="AB909" s="11" t="n">
        <v>46127</v>
      </c>
    </row>
    <row r="910" customFormat="false" ht="15" hidden="false" customHeight="false" outlineLevel="0" collapsed="false">
      <c r="A910" s="3" t="s">
        <v>2936</v>
      </c>
      <c r="B910" s="3" t="s">
        <v>378</v>
      </c>
      <c r="C910" s="3" t="s">
        <v>2370</v>
      </c>
      <c r="D910" s="3" t="s">
        <v>391</v>
      </c>
      <c r="E910" s="3" t="s">
        <v>2937</v>
      </c>
      <c r="F910" s="3" t="s">
        <v>2748</v>
      </c>
      <c r="G910" s="3" t="s">
        <v>2337</v>
      </c>
      <c r="H910" s="3" t="s">
        <v>2749</v>
      </c>
      <c r="I910" s="3" t="s">
        <v>2938</v>
      </c>
      <c r="M910" s="8" t="n">
        <v>563805</v>
      </c>
      <c r="P910" s="9" t="n">
        <v>40</v>
      </c>
      <c r="Q910" s="9" t="n">
        <v>21.9</v>
      </c>
      <c r="R910" s="9" t="n">
        <v>1</v>
      </c>
      <c r="S910" s="8" t="n">
        <v>205249</v>
      </c>
      <c r="T910" s="10" t="n">
        <v>86.7</v>
      </c>
      <c r="U910" s="9" t="n">
        <v>5</v>
      </c>
      <c r="V910" s="3" t="s">
        <v>92</v>
      </c>
      <c r="W910" s="9" t="n">
        <v>0.75</v>
      </c>
      <c r="Z910" s="3" t="s">
        <v>1578</v>
      </c>
      <c r="AA910" s="3" t="s">
        <v>2916</v>
      </c>
      <c r="AB910" s="11" t="n">
        <v>46127</v>
      </c>
    </row>
    <row r="911" customFormat="false" ht="15" hidden="false" customHeight="false" outlineLevel="0" collapsed="false">
      <c r="A911" s="3" t="s">
        <v>2939</v>
      </c>
      <c r="B911" s="3" t="s">
        <v>378</v>
      </c>
      <c r="C911" s="3" t="s">
        <v>2374</v>
      </c>
      <c r="D911" s="3" t="s">
        <v>391</v>
      </c>
      <c r="E911" s="3" t="s">
        <v>2940</v>
      </c>
      <c r="F911" s="3" t="s">
        <v>2748</v>
      </c>
      <c r="G911" s="3" t="s">
        <v>2337</v>
      </c>
      <c r="H911" s="3" t="s">
        <v>2749</v>
      </c>
      <c r="I911" s="3" t="s">
        <v>2941</v>
      </c>
      <c r="M911" s="8" t="n">
        <v>929320</v>
      </c>
      <c r="P911" s="9" t="n">
        <v>58</v>
      </c>
      <c r="Q911" s="9" t="n">
        <v>9</v>
      </c>
      <c r="R911" s="9" t="n">
        <v>1</v>
      </c>
      <c r="S911" s="8" t="n">
        <v>436854</v>
      </c>
      <c r="T911" s="10" t="n">
        <v>53.9</v>
      </c>
      <c r="U911" s="9" t="n">
        <v>3</v>
      </c>
      <c r="V911" s="3" t="s">
        <v>62</v>
      </c>
      <c r="W911" s="9" t="n">
        <v>0.75</v>
      </c>
      <c r="Z911" s="3" t="s">
        <v>1578</v>
      </c>
      <c r="AA911" s="3" t="s">
        <v>2916</v>
      </c>
      <c r="AB911" s="11" t="n">
        <v>46127</v>
      </c>
    </row>
    <row r="912" customFormat="false" ht="15" hidden="false" customHeight="false" outlineLevel="0" collapsed="false">
      <c r="A912" s="3" t="s">
        <v>2942</v>
      </c>
      <c r="B912" s="3" t="s">
        <v>378</v>
      </c>
      <c r="C912" s="3" t="s">
        <v>2378</v>
      </c>
      <c r="D912" s="3" t="s">
        <v>379</v>
      </c>
      <c r="E912" s="3" t="s">
        <v>2943</v>
      </c>
      <c r="F912" s="3" t="s">
        <v>2748</v>
      </c>
      <c r="G912" s="3" t="s">
        <v>2337</v>
      </c>
      <c r="H912" s="3" t="s">
        <v>2749</v>
      </c>
      <c r="I912" s="3" t="s">
        <v>2944</v>
      </c>
      <c r="M912" s="8" t="n">
        <v>291292</v>
      </c>
      <c r="P912" s="9" t="n">
        <v>36</v>
      </c>
      <c r="Q912" s="9" t="n">
        <v>26.4</v>
      </c>
      <c r="R912" s="9" t="n">
        <v>1</v>
      </c>
      <c r="S912" s="8" t="n">
        <v>352687</v>
      </c>
      <c r="T912" s="10" t="n">
        <v>17.1</v>
      </c>
      <c r="U912" s="9" t="n">
        <v>1</v>
      </c>
      <c r="V912" s="3" t="s">
        <v>92</v>
      </c>
      <c r="W912" s="9" t="n">
        <v>0.75</v>
      </c>
      <c r="Z912" s="3" t="s">
        <v>1578</v>
      </c>
      <c r="AA912" s="3" t="s">
        <v>2916</v>
      </c>
      <c r="AB912" s="11" t="n">
        <v>46127</v>
      </c>
    </row>
    <row r="913" customFormat="false" ht="15" hidden="false" customHeight="false" outlineLevel="0" collapsed="false">
      <c r="A913" s="3" t="s">
        <v>2945</v>
      </c>
      <c r="B913" s="3" t="s">
        <v>378</v>
      </c>
      <c r="C913" s="3" t="s">
        <v>2382</v>
      </c>
      <c r="D913" s="3" t="s">
        <v>391</v>
      </c>
      <c r="E913" s="3" t="s">
        <v>385</v>
      </c>
      <c r="F913" s="3" t="s">
        <v>2748</v>
      </c>
      <c r="G913" s="3" t="s">
        <v>2337</v>
      </c>
      <c r="H913" s="3" t="s">
        <v>2749</v>
      </c>
      <c r="I913" s="3" t="s">
        <v>2946</v>
      </c>
      <c r="M913" s="8" t="n">
        <v>506092</v>
      </c>
      <c r="P913" s="9" t="n">
        <v>60</v>
      </c>
      <c r="Q913" s="9" t="n">
        <v>28.2</v>
      </c>
      <c r="R913" s="9" t="n">
        <v>1</v>
      </c>
      <c r="S913" s="8" t="n">
        <v>722509</v>
      </c>
      <c r="T913" s="10" t="n">
        <v>24.1</v>
      </c>
      <c r="U913" s="9" t="n">
        <v>9</v>
      </c>
      <c r="V913" s="3" t="s">
        <v>62</v>
      </c>
      <c r="W913" s="9" t="n">
        <v>0.75</v>
      </c>
      <c r="Z913" s="3" t="s">
        <v>1578</v>
      </c>
      <c r="AA913" s="3" t="s">
        <v>2916</v>
      </c>
      <c r="AB913" s="11" t="n">
        <v>46127</v>
      </c>
    </row>
    <row r="914" customFormat="false" ht="15" hidden="false" customHeight="false" outlineLevel="0" collapsed="false">
      <c r="A914" s="3" t="s">
        <v>2947</v>
      </c>
      <c r="B914" s="3" t="s">
        <v>378</v>
      </c>
      <c r="C914" s="3" t="s">
        <v>2386</v>
      </c>
      <c r="D914" s="3" t="s">
        <v>379</v>
      </c>
      <c r="E914" s="3" t="s">
        <v>2948</v>
      </c>
      <c r="F914" s="3" t="s">
        <v>2748</v>
      </c>
      <c r="G914" s="3" t="s">
        <v>2337</v>
      </c>
      <c r="H914" s="3" t="s">
        <v>2749</v>
      </c>
      <c r="I914" s="3" t="s">
        <v>2326</v>
      </c>
      <c r="M914" s="8" t="n">
        <v>315534</v>
      </c>
      <c r="P914" s="9" t="n">
        <v>74</v>
      </c>
      <c r="Q914" s="9" t="n">
        <v>22</v>
      </c>
      <c r="R914" s="9" t="n">
        <v>3</v>
      </c>
      <c r="S914" s="8" t="n">
        <v>795718</v>
      </c>
      <c r="T914" s="10" t="n">
        <v>16</v>
      </c>
      <c r="U914" s="9" t="n">
        <v>7</v>
      </c>
      <c r="V914" s="3" t="s">
        <v>62</v>
      </c>
      <c r="W914" s="9" t="n">
        <v>0.75</v>
      </c>
      <c r="Z914" s="3" t="s">
        <v>1578</v>
      </c>
      <c r="AA914" s="3" t="s">
        <v>2916</v>
      </c>
      <c r="AB914" s="11" t="n">
        <v>46127</v>
      </c>
    </row>
    <row r="915" customFormat="false" ht="15" hidden="false" customHeight="false" outlineLevel="0" collapsed="false">
      <c r="A915" s="3" t="s">
        <v>2949</v>
      </c>
      <c r="B915" s="3" t="s">
        <v>378</v>
      </c>
      <c r="C915" s="3" t="s">
        <v>2390</v>
      </c>
      <c r="D915" s="3" t="s">
        <v>379</v>
      </c>
      <c r="E915" s="3" t="s">
        <v>2950</v>
      </c>
      <c r="F915" s="3" t="s">
        <v>2748</v>
      </c>
      <c r="G915" s="3" t="s">
        <v>2337</v>
      </c>
      <c r="H915" s="3" t="s">
        <v>2749</v>
      </c>
      <c r="I915" s="3" t="s">
        <v>2951</v>
      </c>
      <c r="M915" s="8" t="n">
        <v>451567</v>
      </c>
      <c r="P915" s="9" t="n">
        <v>50</v>
      </c>
      <c r="Q915" s="9" t="n">
        <v>10.9</v>
      </c>
      <c r="R915" s="9" t="n">
        <v>1</v>
      </c>
      <c r="S915" s="8" t="n">
        <v>598374</v>
      </c>
      <c r="T915" s="10" t="n">
        <v>43.3</v>
      </c>
      <c r="U915" s="9" t="n">
        <v>3</v>
      </c>
      <c r="V915" s="3" t="s">
        <v>83</v>
      </c>
      <c r="W915" s="9" t="n">
        <v>0.75</v>
      </c>
      <c r="Z915" s="3" t="s">
        <v>1578</v>
      </c>
      <c r="AA915" s="3" t="s">
        <v>2916</v>
      </c>
      <c r="AB915" s="11" t="n">
        <v>46127</v>
      </c>
    </row>
    <row r="916" customFormat="false" ht="15" hidden="false" customHeight="false" outlineLevel="0" collapsed="false">
      <c r="A916" s="3" t="s">
        <v>2952</v>
      </c>
      <c r="B916" s="3" t="s">
        <v>378</v>
      </c>
      <c r="C916" s="3" t="s">
        <v>2394</v>
      </c>
      <c r="D916" s="3" t="s">
        <v>391</v>
      </c>
      <c r="E916" s="3" t="s">
        <v>2953</v>
      </c>
      <c r="F916" s="3" t="s">
        <v>2748</v>
      </c>
      <c r="G916" s="3" t="s">
        <v>2337</v>
      </c>
      <c r="H916" s="3" t="s">
        <v>2749</v>
      </c>
      <c r="I916" s="3" t="s">
        <v>2954</v>
      </c>
      <c r="M916" s="8" t="n">
        <v>376102</v>
      </c>
      <c r="P916" s="9" t="n">
        <v>67</v>
      </c>
      <c r="Q916" s="9" t="n">
        <v>7.5</v>
      </c>
      <c r="R916" s="9" t="n">
        <v>2</v>
      </c>
      <c r="S916" s="8" t="n">
        <v>198496</v>
      </c>
      <c r="T916" s="10" t="n">
        <v>60.5</v>
      </c>
      <c r="U916" s="9" t="n">
        <v>2</v>
      </c>
      <c r="V916" s="3" t="s">
        <v>55</v>
      </c>
      <c r="W916" s="9" t="n">
        <v>0.75</v>
      </c>
      <c r="Z916" s="3" t="s">
        <v>1578</v>
      </c>
      <c r="AA916" s="3" t="s">
        <v>2916</v>
      </c>
      <c r="AB916" s="11" t="n">
        <v>46127</v>
      </c>
    </row>
    <row r="917" customFormat="false" ht="15" hidden="false" customHeight="false" outlineLevel="0" collapsed="false">
      <c r="A917" s="3" t="s">
        <v>2955</v>
      </c>
      <c r="B917" s="3" t="s">
        <v>378</v>
      </c>
      <c r="C917" s="3" t="s">
        <v>2398</v>
      </c>
      <c r="D917" s="3" t="s">
        <v>384</v>
      </c>
      <c r="E917" s="3" t="s">
        <v>2956</v>
      </c>
      <c r="F917" s="3" t="s">
        <v>2748</v>
      </c>
      <c r="G917" s="3" t="s">
        <v>2337</v>
      </c>
      <c r="H917" s="3" t="s">
        <v>2749</v>
      </c>
      <c r="I917" s="3" t="s">
        <v>2957</v>
      </c>
      <c r="M917" s="8" t="n">
        <v>883739</v>
      </c>
      <c r="P917" s="9" t="n">
        <v>66</v>
      </c>
      <c r="Q917" s="9" t="n">
        <v>29.7</v>
      </c>
      <c r="R917" s="9" t="n">
        <v>1</v>
      </c>
      <c r="S917" s="8" t="n">
        <v>675316</v>
      </c>
      <c r="T917" s="10" t="n">
        <v>38.5</v>
      </c>
      <c r="U917" s="9" t="n">
        <v>5</v>
      </c>
      <c r="V917" s="3" t="s">
        <v>62</v>
      </c>
      <c r="W917" s="9" t="n">
        <v>0.75</v>
      </c>
      <c r="Z917" s="3" t="s">
        <v>1578</v>
      </c>
      <c r="AA917" s="3" t="s">
        <v>2916</v>
      </c>
      <c r="AB917" s="11" t="n">
        <v>46127</v>
      </c>
    </row>
    <row r="918" customFormat="false" ht="15" hidden="false" customHeight="false" outlineLevel="0" collapsed="false">
      <c r="A918" s="3" t="s">
        <v>2958</v>
      </c>
      <c r="B918" s="3" t="s">
        <v>378</v>
      </c>
      <c r="C918" s="3" t="s">
        <v>2402</v>
      </c>
      <c r="D918" s="3" t="s">
        <v>391</v>
      </c>
      <c r="E918" s="3" t="s">
        <v>2959</v>
      </c>
      <c r="F918" s="3" t="s">
        <v>2748</v>
      </c>
      <c r="G918" s="3" t="s">
        <v>2337</v>
      </c>
      <c r="H918" s="3" t="s">
        <v>2749</v>
      </c>
      <c r="I918" s="3" t="s">
        <v>2960</v>
      </c>
      <c r="M918" s="8" t="n">
        <v>173467</v>
      </c>
      <c r="P918" s="9" t="n">
        <v>69</v>
      </c>
      <c r="Q918" s="9" t="n">
        <v>16.3</v>
      </c>
      <c r="R918" s="9" t="n">
        <v>1</v>
      </c>
      <c r="S918" s="8" t="n">
        <v>441683</v>
      </c>
      <c r="T918" s="10" t="n">
        <v>49.1</v>
      </c>
      <c r="U918" s="9" t="n">
        <v>6</v>
      </c>
      <c r="V918" s="3" t="s">
        <v>83</v>
      </c>
      <c r="W918" s="9" t="n">
        <v>0.75</v>
      </c>
      <c r="Z918" s="3" t="s">
        <v>1578</v>
      </c>
      <c r="AA918" s="3" t="s">
        <v>2916</v>
      </c>
      <c r="AB918" s="11" t="n">
        <v>46127</v>
      </c>
    </row>
    <row r="919" customFormat="false" ht="15" hidden="false" customHeight="false" outlineLevel="0" collapsed="false">
      <c r="A919" s="3" t="s">
        <v>2961</v>
      </c>
      <c r="B919" s="3" t="s">
        <v>378</v>
      </c>
      <c r="C919" s="3" t="s">
        <v>2405</v>
      </c>
      <c r="D919" s="3" t="s">
        <v>384</v>
      </c>
      <c r="E919" s="3" t="s">
        <v>2962</v>
      </c>
      <c r="F919" s="3" t="s">
        <v>2748</v>
      </c>
      <c r="G919" s="3" t="s">
        <v>2337</v>
      </c>
      <c r="H919" s="3" t="s">
        <v>2749</v>
      </c>
      <c r="I919" s="3" t="s">
        <v>2963</v>
      </c>
      <c r="M919" s="8" t="n">
        <v>170555</v>
      </c>
      <c r="P919" s="9" t="n">
        <v>48</v>
      </c>
      <c r="Q919" s="9" t="n">
        <v>27.5</v>
      </c>
      <c r="R919" s="9" t="n">
        <v>1</v>
      </c>
      <c r="S919" s="8" t="n">
        <v>1383612</v>
      </c>
      <c r="T919" s="10" t="n">
        <v>77.5</v>
      </c>
      <c r="U919" s="9" t="n">
        <v>7</v>
      </c>
      <c r="V919" s="3" t="s">
        <v>83</v>
      </c>
      <c r="W919" s="9" t="n">
        <v>0.75</v>
      </c>
      <c r="Z919" s="3" t="s">
        <v>1578</v>
      </c>
      <c r="AA919" s="3" t="s">
        <v>2916</v>
      </c>
      <c r="AB919" s="11" t="n">
        <v>46127</v>
      </c>
    </row>
    <row r="920" customFormat="false" ht="15" hidden="false" customHeight="false" outlineLevel="0" collapsed="false">
      <c r="A920" s="3" t="s">
        <v>2964</v>
      </c>
      <c r="B920" s="3" t="s">
        <v>378</v>
      </c>
      <c r="C920" s="3" t="s">
        <v>2409</v>
      </c>
      <c r="D920" s="3" t="s">
        <v>391</v>
      </c>
      <c r="E920" s="3" t="s">
        <v>2965</v>
      </c>
      <c r="F920" s="3" t="s">
        <v>2748</v>
      </c>
      <c r="G920" s="3" t="s">
        <v>2337</v>
      </c>
      <c r="H920" s="3" t="s">
        <v>2749</v>
      </c>
      <c r="I920" s="3" t="s">
        <v>2966</v>
      </c>
      <c r="M920" s="8" t="n">
        <v>1245891</v>
      </c>
      <c r="P920" s="9" t="n">
        <v>51</v>
      </c>
      <c r="Q920" s="9" t="n">
        <v>19.8</v>
      </c>
      <c r="R920" s="9" t="n">
        <v>1</v>
      </c>
      <c r="S920" s="8" t="n">
        <v>1201135</v>
      </c>
      <c r="T920" s="10" t="n">
        <v>86.1</v>
      </c>
      <c r="U920" s="9" t="n">
        <v>3</v>
      </c>
      <c r="V920" s="3" t="s">
        <v>55</v>
      </c>
      <c r="W920" s="9" t="n">
        <v>0.75</v>
      </c>
      <c r="Z920" s="3" t="s">
        <v>1578</v>
      </c>
      <c r="AA920" s="3" t="s">
        <v>2916</v>
      </c>
      <c r="AB920" s="11" t="n">
        <v>46127</v>
      </c>
    </row>
    <row r="921" customFormat="false" ht="15" hidden="false" customHeight="false" outlineLevel="0" collapsed="false">
      <c r="A921" s="3" t="s">
        <v>2967</v>
      </c>
      <c r="B921" s="3" t="s">
        <v>378</v>
      </c>
      <c r="C921" s="3" t="s">
        <v>2413</v>
      </c>
      <c r="D921" s="3" t="s">
        <v>391</v>
      </c>
      <c r="E921" s="3" t="s">
        <v>2968</v>
      </c>
      <c r="F921" s="3" t="s">
        <v>2748</v>
      </c>
      <c r="G921" s="3" t="s">
        <v>2337</v>
      </c>
      <c r="H921" s="3" t="s">
        <v>2749</v>
      </c>
      <c r="I921" s="3" t="s">
        <v>2969</v>
      </c>
      <c r="M921" s="8" t="n">
        <v>344515</v>
      </c>
      <c r="P921" s="9" t="n">
        <v>47</v>
      </c>
      <c r="Q921" s="9" t="n">
        <v>26</v>
      </c>
      <c r="R921" s="9" t="n">
        <v>1</v>
      </c>
      <c r="S921" s="8" t="n">
        <v>842942</v>
      </c>
      <c r="T921" s="10" t="n">
        <v>65.9</v>
      </c>
      <c r="U921" s="9" t="n">
        <v>10</v>
      </c>
      <c r="V921" s="3" t="s">
        <v>83</v>
      </c>
      <c r="W921" s="9" t="n">
        <v>0.75</v>
      </c>
      <c r="Z921" s="3" t="s">
        <v>1578</v>
      </c>
      <c r="AA921" s="3" t="s">
        <v>2916</v>
      </c>
      <c r="AB921" s="11" t="n">
        <v>46127</v>
      </c>
    </row>
    <row r="922" customFormat="false" ht="15" hidden="false" customHeight="false" outlineLevel="0" collapsed="false">
      <c r="A922" s="3" t="s">
        <v>2970</v>
      </c>
      <c r="B922" s="3" t="s">
        <v>378</v>
      </c>
      <c r="C922" s="3" t="s">
        <v>2417</v>
      </c>
      <c r="D922" s="3" t="s">
        <v>384</v>
      </c>
      <c r="E922" s="3" t="s">
        <v>2971</v>
      </c>
      <c r="F922" s="3" t="s">
        <v>2748</v>
      </c>
      <c r="G922" s="3" t="s">
        <v>2337</v>
      </c>
      <c r="H922" s="3" t="s">
        <v>2749</v>
      </c>
      <c r="I922" s="3" t="s">
        <v>2972</v>
      </c>
      <c r="M922" s="8" t="n">
        <v>343570</v>
      </c>
      <c r="P922" s="9" t="n">
        <v>47</v>
      </c>
      <c r="Q922" s="9" t="n">
        <v>22.5</v>
      </c>
      <c r="R922" s="9" t="n">
        <v>3</v>
      </c>
      <c r="S922" s="8" t="n">
        <v>761577</v>
      </c>
      <c r="T922" s="10" t="n">
        <v>55.6</v>
      </c>
      <c r="U922" s="9" t="n">
        <v>8</v>
      </c>
      <c r="V922" s="3" t="s">
        <v>55</v>
      </c>
      <c r="W922" s="9" t="n">
        <v>0.75</v>
      </c>
      <c r="Z922" s="3" t="s">
        <v>1578</v>
      </c>
      <c r="AA922" s="3" t="s">
        <v>2916</v>
      </c>
      <c r="AB922" s="11" t="n">
        <v>46127</v>
      </c>
    </row>
    <row r="923" customFormat="false" ht="15" hidden="false" customHeight="false" outlineLevel="0" collapsed="false">
      <c r="A923" s="3" t="s">
        <v>2973</v>
      </c>
      <c r="B923" s="3" t="s">
        <v>378</v>
      </c>
      <c r="C923" s="3" t="s">
        <v>2421</v>
      </c>
      <c r="D923" s="3" t="s">
        <v>391</v>
      </c>
      <c r="E923" s="3" t="s">
        <v>2974</v>
      </c>
      <c r="F923" s="3" t="s">
        <v>2748</v>
      </c>
      <c r="G923" s="3" t="s">
        <v>2337</v>
      </c>
      <c r="H923" s="3" t="s">
        <v>2749</v>
      </c>
      <c r="I923" s="3" t="s">
        <v>2975</v>
      </c>
      <c r="M923" s="8" t="n">
        <v>301991</v>
      </c>
      <c r="P923" s="9" t="n">
        <v>64</v>
      </c>
      <c r="Q923" s="9" t="n">
        <v>18.7</v>
      </c>
      <c r="R923" s="9" t="n">
        <v>1</v>
      </c>
      <c r="S923" s="8" t="n">
        <v>386186</v>
      </c>
      <c r="T923" s="10" t="n">
        <v>89.8</v>
      </c>
      <c r="U923" s="9" t="n">
        <v>10</v>
      </c>
      <c r="V923" s="3" t="s">
        <v>92</v>
      </c>
      <c r="W923" s="9" t="n">
        <v>0.75</v>
      </c>
      <c r="Z923" s="3" t="s">
        <v>1578</v>
      </c>
      <c r="AA923" s="3" t="s">
        <v>2916</v>
      </c>
      <c r="AB923" s="11" t="n">
        <v>46127</v>
      </c>
    </row>
    <row r="924" customFormat="false" ht="15" hidden="false" customHeight="false" outlineLevel="0" collapsed="false">
      <c r="A924" s="3" t="s">
        <v>2976</v>
      </c>
      <c r="B924" s="3" t="s">
        <v>378</v>
      </c>
      <c r="C924" s="3" t="s">
        <v>2424</v>
      </c>
      <c r="D924" s="3" t="s">
        <v>391</v>
      </c>
      <c r="E924" s="3" t="s">
        <v>2977</v>
      </c>
      <c r="F924" s="3" t="s">
        <v>2748</v>
      </c>
      <c r="G924" s="3" t="s">
        <v>2337</v>
      </c>
      <c r="H924" s="3" t="s">
        <v>2749</v>
      </c>
      <c r="I924" s="3" t="s">
        <v>2978</v>
      </c>
      <c r="M924" s="8" t="n">
        <v>177646</v>
      </c>
      <c r="P924" s="9" t="n">
        <v>47</v>
      </c>
      <c r="Q924" s="9" t="n">
        <v>2.6</v>
      </c>
      <c r="R924" s="9" t="n">
        <v>1</v>
      </c>
      <c r="S924" s="8" t="n">
        <v>409279</v>
      </c>
      <c r="T924" s="10" t="n">
        <v>91.3</v>
      </c>
      <c r="U924" s="9" t="n">
        <v>3</v>
      </c>
      <c r="V924" s="3" t="s">
        <v>83</v>
      </c>
      <c r="W924" s="9" t="n">
        <v>0.75</v>
      </c>
      <c r="Z924" s="3" t="s">
        <v>1578</v>
      </c>
      <c r="AA924" s="3" t="s">
        <v>2916</v>
      </c>
      <c r="AB924" s="11" t="n">
        <v>46127</v>
      </c>
    </row>
    <row r="925" customFormat="false" ht="15" hidden="false" customHeight="false" outlineLevel="0" collapsed="false">
      <c r="A925" s="3" t="s">
        <v>2979</v>
      </c>
      <c r="B925" s="3" t="s">
        <v>378</v>
      </c>
      <c r="C925" s="3" t="s">
        <v>2428</v>
      </c>
      <c r="D925" s="3" t="s">
        <v>379</v>
      </c>
      <c r="E925" s="3" t="s">
        <v>2980</v>
      </c>
      <c r="F925" s="3" t="s">
        <v>2748</v>
      </c>
      <c r="G925" s="3" t="s">
        <v>2337</v>
      </c>
      <c r="H925" s="3" t="s">
        <v>2749</v>
      </c>
      <c r="I925" s="3" t="s">
        <v>2981</v>
      </c>
      <c r="M925" s="8" t="n">
        <v>496491</v>
      </c>
      <c r="P925" s="9" t="n">
        <v>40</v>
      </c>
      <c r="Q925" s="9" t="n">
        <v>27</v>
      </c>
      <c r="R925" s="9" t="n">
        <v>1</v>
      </c>
      <c r="S925" s="8" t="n">
        <v>248951</v>
      </c>
      <c r="T925" s="10" t="n">
        <v>88.9</v>
      </c>
      <c r="U925" s="9" t="n">
        <v>8</v>
      </c>
      <c r="V925" s="3" t="s">
        <v>62</v>
      </c>
      <c r="W925" s="9" t="n">
        <v>0.75</v>
      </c>
      <c r="Z925" s="3" t="s">
        <v>1578</v>
      </c>
      <c r="AA925" s="3" t="s">
        <v>2916</v>
      </c>
      <c r="AB925" s="11" t="n">
        <v>46127</v>
      </c>
    </row>
    <row r="926" customFormat="false" ht="15" hidden="false" customHeight="false" outlineLevel="0" collapsed="false">
      <c r="A926" s="3" t="s">
        <v>2982</v>
      </c>
      <c r="B926" s="3" t="s">
        <v>378</v>
      </c>
      <c r="C926" s="3" t="s">
        <v>2432</v>
      </c>
      <c r="D926" s="3" t="s">
        <v>391</v>
      </c>
      <c r="E926" s="3" t="s">
        <v>2983</v>
      </c>
      <c r="F926" s="3" t="s">
        <v>2748</v>
      </c>
      <c r="G926" s="3" t="s">
        <v>2337</v>
      </c>
      <c r="H926" s="3" t="s">
        <v>2749</v>
      </c>
      <c r="I926" s="3" t="s">
        <v>2984</v>
      </c>
      <c r="M926" s="8" t="n">
        <v>244915</v>
      </c>
      <c r="P926" s="9" t="n">
        <v>54</v>
      </c>
      <c r="Q926" s="9" t="n">
        <v>8.8</v>
      </c>
      <c r="R926" s="9" t="n">
        <v>1</v>
      </c>
      <c r="S926" s="8" t="n">
        <v>477816</v>
      </c>
      <c r="T926" s="10" t="n">
        <v>65</v>
      </c>
      <c r="U926" s="9" t="n">
        <v>8</v>
      </c>
      <c r="V926" s="3" t="s">
        <v>62</v>
      </c>
      <c r="W926" s="9" t="n">
        <v>0.75</v>
      </c>
      <c r="Z926" s="3" t="s">
        <v>1578</v>
      </c>
      <c r="AA926" s="3" t="s">
        <v>2916</v>
      </c>
      <c r="AB926" s="11" t="n">
        <v>46127</v>
      </c>
    </row>
    <row r="927" customFormat="false" ht="15" hidden="false" customHeight="false" outlineLevel="0" collapsed="false">
      <c r="A927" s="3" t="s">
        <v>2985</v>
      </c>
      <c r="B927" s="3" t="s">
        <v>378</v>
      </c>
      <c r="C927" s="3" t="s">
        <v>2436</v>
      </c>
      <c r="D927" s="3" t="s">
        <v>384</v>
      </c>
      <c r="E927" s="3" t="s">
        <v>2986</v>
      </c>
      <c r="F927" s="3" t="s">
        <v>2748</v>
      </c>
      <c r="G927" s="3" t="s">
        <v>2337</v>
      </c>
      <c r="H927" s="3" t="s">
        <v>2749</v>
      </c>
      <c r="I927" s="3" t="s">
        <v>2987</v>
      </c>
      <c r="M927" s="8" t="n">
        <v>325115</v>
      </c>
      <c r="P927" s="9" t="n">
        <v>46</v>
      </c>
      <c r="Q927" s="9" t="n">
        <v>16.8</v>
      </c>
      <c r="R927" s="9" t="n">
        <v>1</v>
      </c>
      <c r="S927" s="8" t="n">
        <v>420350</v>
      </c>
      <c r="T927" s="10" t="n">
        <v>23.2</v>
      </c>
      <c r="U927" s="9" t="n">
        <v>1</v>
      </c>
      <c r="V927" s="3" t="s">
        <v>83</v>
      </c>
      <c r="W927" s="9" t="n">
        <v>0.75</v>
      </c>
      <c r="Z927" s="3" t="s">
        <v>1578</v>
      </c>
      <c r="AA927" s="3" t="s">
        <v>2916</v>
      </c>
      <c r="AB927" s="11" t="n">
        <v>46127</v>
      </c>
    </row>
    <row r="928" customFormat="false" ht="15" hidden="false" customHeight="false" outlineLevel="0" collapsed="false">
      <c r="A928" s="3" t="s">
        <v>2988</v>
      </c>
      <c r="B928" s="3" t="s">
        <v>378</v>
      </c>
      <c r="C928" s="3" t="s">
        <v>2440</v>
      </c>
      <c r="D928" s="3" t="s">
        <v>379</v>
      </c>
      <c r="E928" s="3" t="s">
        <v>2989</v>
      </c>
      <c r="F928" s="3" t="s">
        <v>2748</v>
      </c>
      <c r="G928" s="3" t="s">
        <v>2337</v>
      </c>
      <c r="H928" s="3" t="s">
        <v>2749</v>
      </c>
      <c r="I928" s="3" t="s">
        <v>2990</v>
      </c>
      <c r="M928" s="8" t="n">
        <v>251559</v>
      </c>
      <c r="P928" s="9" t="n">
        <v>45</v>
      </c>
      <c r="Q928" s="9" t="n">
        <v>9.4</v>
      </c>
      <c r="R928" s="9" t="n">
        <v>1</v>
      </c>
      <c r="S928" s="8" t="n">
        <v>1048334</v>
      </c>
      <c r="T928" s="10" t="n">
        <v>32.1</v>
      </c>
      <c r="U928" s="9" t="n">
        <v>9</v>
      </c>
      <c r="V928" s="3" t="s">
        <v>92</v>
      </c>
      <c r="W928" s="9" t="n">
        <v>0.75</v>
      </c>
      <c r="Z928" s="3" t="s">
        <v>1578</v>
      </c>
      <c r="AA928" s="3" t="s">
        <v>2916</v>
      </c>
      <c r="AB928" s="11" t="n">
        <v>46127</v>
      </c>
    </row>
    <row r="929" customFormat="false" ht="15" hidden="false" customHeight="false" outlineLevel="0" collapsed="false">
      <c r="A929" s="3" t="s">
        <v>2991</v>
      </c>
      <c r="B929" s="3" t="s">
        <v>378</v>
      </c>
      <c r="C929" s="3" t="s">
        <v>2444</v>
      </c>
      <c r="D929" s="3" t="s">
        <v>391</v>
      </c>
      <c r="E929" s="3" t="s">
        <v>2992</v>
      </c>
      <c r="F929" s="3" t="s">
        <v>2748</v>
      </c>
      <c r="G929" s="3" t="s">
        <v>2337</v>
      </c>
      <c r="H929" s="3" t="s">
        <v>2749</v>
      </c>
      <c r="I929" s="3" t="s">
        <v>2993</v>
      </c>
      <c r="M929" s="8" t="n">
        <v>716801</v>
      </c>
      <c r="P929" s="9" t="n">
        <v>48</v>
      </c>
      <c r="Q929" s="9" t="n">
        <v>3.3</v>
      </c>
      <c r="R929" s="9" t="n">
        <v>1</v>
      </c>
      <c r="S929" s="8" t="n">
        <v>609705</v>
      </c>
      <c r="T929" s="10" t="n">
        <v>78.6</v>
      </c>
      <c r="U929" s="9" t="n">
        <v>10</v>
      </c>
      <c r="V929" s="3" t="s">
        <v>55</v>
      </c>
      <c r="W929" s="9" t="n">
        <v>0.75</v>
      </c>
      <c r="Z929" s="3" t="s">
        <v>1578</v>
      </c>
      <c r="AA929" s="3" t="s">
        <v>2916</v>
      </c>
      <c r="AB929" s="11" t="n">
        <v>46127</v>
      </c>
    </row>
    <row r="930" customFormat="false" ht="15" hidden="false" customHeight="false" outlineLevel="0" collapsed="false">
      <c r="A930" s="3" t="s">
        <v>2994</v>
      </c>
      <c r="B930" s="3" t="s">
        <v>378</v>
      </c>
      <c r="C930" s="3" t="s">
        <v>2448</v>
      </c>
      <c r="D930" s="3" t="s">
        <v>384</v>
      </c>
      <c r="E930" s="3" t="s">
        <v>2995</v>
      </c>
      <c r="F930" s="3" t="s">
        <v>2748</v>
      </c>
      <c r="G930" s="3" t="s">
        <v>2337</v>
      </c>
      <c r="H930" s="3" t="s">
        <v>2749</v>
      </c>
      <c r="I930" s="3" t="s">
        <v>2996</v>
      </c>
      <c r="M930" s="8" t="n">
        <v>512026</v>
      </c>
      <c r="P930" s="9" t="n">
        <v>72</v>
      </c>
      <c r="Q930" s="9" t="n">
        <v>15.3</v>
      </c>
      <c r="R930" s="9" t="n">
        <v>1</v>
      </c>
      <c r="S930" s="8" t="n">
        <v>389326</v>
      </c>
      <c r="T930" s="10" t="n">
        <v>66.7</v>
      </c>
      <c r="U930" s="9" t="n">
        <v>9</v>
      </c>
      <c r="V930" s="3" t="s">
        <v>92</v>
      </c>
      <c r="W930" s="9" t="n">
        <v>0.75</v>
      </c>
      <c r="Z930" s="3" t="s">
        <v>1578</v>
      </c>
      <c r="AA930" s="3" t="s">
        <v>2916</v>
      </c>
      <c r="AB930" s="11" t="n">
        <v>46127</v>
      </c>
    </row>
    <row r="931" customFormat="false" ht="15" hidden="false" customHeight="false" outlineLevel="0" collapsed="false">
      <c r="A931" s="3" t="s">
        <v>2997</v>
      </c>
      <c r="B931" s="3" t="s">
        <v>378</v>
      </c>
      <c r="C931" s="3" t="s">
        <v>2452</v>
      </c>
      <c r="D931" s="3" t="s">
        <v>391</v>
      </c>
      <c r="E931" s="3" t="s">
        <v>2998</v>
      </c>
      <c r="F931" s="3" t="s">
        <v>2748</v>
      </c>
      <c r="G931" s="3" t="s">
        <v>2337</v>
      </c>
      <c r="H931" s="3" t="s">
        <v>2749</v>
      </c>
      <c r="I931" s="3" t="s">
        <v>2999</v>
      </c>
      <c r="M931" s="8" t="n">
        <v>165478</v>
      </c>
      <c r="P931" s="9" t="n">
        <v>64</v>
      </c>
      <c r="Q931" s="9" t="n">
        <v>2.5</v>
      </c>
      <c r="R931" s="9" t="n">
        <v>1</v>
      </c>
      <c r="S931" s="8" t="n">
        <v>640411</v>
      </c>
      <c r="T931" s="10" t="n">
        <v>43</v>
      </c>
      <c r="U931" s="9" t="n">
        <v>9</v>
      </c>
      <c r="V931" s="3" t="s">
        <v>83</v>
      </c>
      <c r="W931" s="9" t="n">
        <v>0.75</v>
      </c>
      <c r="Z931" s="3" t="s">
        <v>1578</v>
      </c>
      <c r="AA931" s="3" t="s">
        <v>2916</v>
      </c>
      <c r="AB931" s="11" t="n">
        <v>46127</v>
      </c>
    </row>
    <row r="932" customFormat="false" ht="15" hidden="false" customHeight="false" outlineLevel="0" collapsed="false">
      <c r="A932" s="3" t="s">
        <v>3000</v>
      </c>
      <c r="B932" s="3" t="s">
        <v>378</v>
      </c>
      <c r="C932" s="3" t="s">
        <v>2456</v>
      </c>
      <c r="D932" s="3" t="s">
        <v>391</v>
      </c>
      <c r="E932" s="3" t="s">
        <v>3001</v>
      </c>
      <c r="F932" s="3" t="s">
        <v>2748</v>
      </c>
      <c r="G932" s="3" t="s">
        <v>2337</v>
      </c>
      <c r="H932" s="3" t="s">
        <v>2749</v>
      </c>
      <c r="I932" s="3" t="s">
        <v>3002</v>
      </c>
      <c r="M932" s="8" t="n">
        <v>325906</v>
      </c>
      <c r="P932" s="9" t="n">
        <v>36</v>
      </c>
      <c r="Q932" s="9" t="n">
        <v>29.1</v>
      </c>
      <c r="R932" s="9" t="n">
        <v>1</v>
      </c>
      <c r="S932" s="8" t="n">
        <v>801588</v>
      </c>
      <c r="T932" s="10" t="n">
        <v>75.1</v>
      </c>
      <c r="U932" s="9" t="n">
        <v>1</v>
      </c>
      <c r="V932" s="3" t="s">
        <v>55</v>
      </c>
      <c r="W932" s="9" t="n">
        <v>0.75</v>
      </c>
      <c r="Z932" s="3" t="s">
        <v>1578</v>
      </c>
      <c r="AA932" s="3" t="s">
        <v>2916</v>
      </c>
      <c r="AB932" s="11" t="n">
        <v>46127</v>
      </c>
    </row>
    <row r="933" customFormat="false" ht="15" hidden="false" customHeight="false" outlineLevel="0" collapsed="false">
      <c r="A933" s="3" t="s">
        <v>3003</v>
      </c>
      <c r="B933" s="3" t="s">
        <v>378</v>
      </c>
      <c r="C933" s="3" t="s">
        <v>2460</v>
      </c>
      <c r="D933" s="3" t="s">
        <v>384</v>
      </c>
      <c r="E933" s="3" t="s">
        <v>3004</v>
      </c>
      <c r="F933" s="3" t="s">
        <v>2748</v>
      </c>
      <c r="G933" s="3" t="s">
        <v>2337</v>
      </c>
      <c r="H933" s="3" t="s">
        <v>2749</v>
      </c>
      <c r="I933" s="3" t="s">
        <v>3005</v>
      </c>
      <c r="M933" s="8" t="n">
        <v>288311</v>
      </c>
      <c r="P933" s="9" t="n">
        <v>43</v>
      </c>
      <c r="Q933" s="9" t="n">
        <v>7.1</v>
      </c>
      <c r="R933" s="9" t="n">
        <v>1</v>
      </c>
      <c r="S933" s="8" t="n">
        <v>156615</v>
      </c>
      <c r="T933" s="10" t="n">
        <v>43.9</v>
      </c>
      <c r="U933" s="9" t="n">
        <v>6</v>
      </c>
      <c r="V933" s="3" t="s">
        <v>83</v>
      </c>
      <c r="W933" s="9" t="n">
        <v>0.75</v>
      </c>
      <c r="Z933" s="3" t="s">
        <v>1578</v>
      </c>
      <c r="AA933" s="3" t="s">
        <v>2916</v>
      </c>
      <c r="AB933" s="11" t="n">
        <v>46127</v>
      </c>
    </row>
    <row r="934" customFormat="false" ht="15" hidden="false" customHeight="false" outlineLevel="0" collapsed="false">
      <c r="A934" s="3" t="s">
        <v>3006</v>
      </c>
      <c r="B934" s="3" t="s">
        <v>378</v>
      </c>
      <c r="C934" s="3" t="s">
        <v>2464</v>
      </c>
      <c r="D934" s="3" t="s">
        <v>384</v>
      </c>
      <c r="E934" s="3" t="s">
        <v>3007</v>
      </c>
      <c r="F934" s="3" t="s">
        <v>2748</v>
      </c>
      <c r="G934" s="3" t="s">
        <v>2337</v>
      </c>
      <c r="H934" s="3" t="s">
        <v>2749</v>
      </c>
      <c r="I934" s="3" t="s">
        <v>3008</v>
      </c>
      <c r="M934" s="8" t="n">
        <v>966886</v>
      </c>
      <c r="P934" s="9" t="n">
        <v>40</v>
      </c>
      <c r="Q934" s="9" t="n">
        <v>29.1</v>
      </c>
      <c r="R934" s="9" t="n">
        <v>1</v>
      </c>
      <c r="S934" s="8" t="n">
        <v>719767</v>
      </c>
      <c r="T934" s="10" t="n">
        <v>21.3</v>
      </c>
      <c r="U934" s="9" t="n">
        <v>2</v>
      </c>
      <c r="V934" s="3" t="s">
        <v>62</v>
      </c>
      <c r="W934" s="9" t="n">
        <v>0.75</v>
      </c>
      <c r="Z934" s="3" t="s">
        <v>1578</v>
      </c>
      <c r="AA934" s="3" t="s">
        <v>2916</v>
      </c>
      <c r="AB934" s="11" t="n">
        <v>46127</v>
      </c>
    </row>
    <row r="935" customFormat="false" ht="15" hidden="false" customHeight="false" outlineLevel="0" collapsed="false">
      <c r="A935" s="3" t="s">
        <v>3009</v>
      </c>
      <c r="B935" s="3" t="s">
        <v>378</v>
      </c>
      <c r="C935" s="3" t="s">
        <v>2468</v>
      </c>
      <c r="D935" s="3" t="s">
        <v>379</v>
      </c>
      <c r="E935" s="3" t="s">
        <v>3010</v>
      </c>
      <c r="F935" s="3" t="s">
        <v>2748</v>
      </c>
      <c r="G935" s="3" t="s">
        <v>2337</v>
      </c>
      <c r="H935" s="3" t="s">
        <v>2749</v>
      </c>
      <c r="I935" s="3" t="s">
        <v>3011</v>
      </c>
      <c r="M935" s="8" t="n">
        <v>577095</v>
      </c>
      <c r="P935" s="9" t="n">
        <v>76</v>
      </c>
      <c r="Q935" s="9" t="n">
        <v>4.9</v>
      </c>
      <c r="R935" s="9" t="n">
        <v>1</v>
      </c>
      <c r="S935" s="8" t="n">
        <v>225667</v>
      </c>
      <c r="T935" s="10" t="n">
        <v>35.4</v>
      </c>
      <c r="U935" s="9" t="n">
        <v>1</v>
      </c>
      <c r="V935" s="3" t="s">
        <v>55</v>
      </c>
      <c r="W935" s="9" t="n">
        <v>0.75</v>
      </c>
      <c r="Z935" s="3" t="s">
        <v>1578</v>
      </c>
      <c r="AA935" s="3" t="s">
        <v>2916</v>
      </c>
      <c r="AB935" s="11" t="n">
        <v>46127</v>
      </c>
    </row>
    <row r="936" customFormat="false" ht="15" hidden="false" customHeight="false" outlineLevel="0" collapsed="false">
      <c r="A936" s="3" t="s">
        <v>3012</v>
      </c>
      <c r="B936" s="3" t="s">
        <v>378</v>
      </c>
      <c r="C936" s="3" t="s">
        <v>2471</v>
      </c>
      <c r="D936" s="3" t="s">
        <v>391</v>
      </c>
      <c r="E936" s="3" t="s">
        <v>3013</v>
      </c>
      <c r="F936" s="3" t="s">
        <v>2748</v>
      </c>
      <c r="G936" s="3" t="s">
        <v>2337</v>
      </c>
      <c r="H936" s="3" t="s">
        <v>2749</v>
      </c>
      <c r="I936" s="3" t="s">
        <v>3014</v>
      </c>
      <c r="M936" s="8" t="n">
        <v>295623</v>
      </c>
      <c r="P936" s="9" t="n">
        <v>44</v>
      </c>
      <c r="Q936" s="9" t="n">
        <v>9.3</v>
      </c>
      <c r="R936" s="9" t="n">
        <v>1</v>
      </c>
      <c r="S936" s="8" t="n">
        <v>399225</v>
      </c>
      <c r="T936" s="10" t="n">
        <v>46.4</v>
      </c>
      <c r="U936" s="9" t="n">
        <v>10</v>
      </c>
      <c r="V936" s="3" t="s">
        <v>55</v>
      </c>
      <c r="W936" s="9" t="n">
        <v>0.75</v>
      </c>
      <c r="Z936" s="3" t="s">
        <v>1578</v>
      </c>
      <c r="AA936" s="3" t="s">
        <v>2916</v>
      </c>
      <c r="AB936" s="11" t="n">
        <v>46127</v>
      </c>
    </row>
    <row r="937" customFormat="false" ht="15" hidden="false" customHeight="false" outlineLevel="0" collapsed="false">
      <c r="A937" s="3" t="s">
        <v>3015</v>
      </c>
      <c r="B937" s="3" t="s">
        <v>378</v>
      </c>
      <c r="C937" s="3" t="s">
        <v>2475</v>
      </c>
      <c r="D937" s="3" t="s">
        <v>384</v>
      </c>
      <c r="E937" s="3" t="s">
        <v>3016</v>
      </c>
      <c r="F937" s="3" t="s">
        <v>2748</v>
      </c>
      <c r="G937" s="3" t="s">
        <v>2337</v>
      </c>
      <c r="H937" s="3" t="s">
        <v>2749</v>
      </c>
      <c r="I937" s="3" t="s">
        <v>3017</v>
      </c>
      <c r="M937" s="8" t="n">
        <v>232139</v>
      </c>
      <c r="P937" s="9" t="n">
        <v>57</v>
      </c>
      <c r="Q937" s="9" t="n">
        <v>25.8</v>
      </c>
      <c r="R937" s="9" t="n">
        <v>1</v>
      </c>
      <c r="S937" s="8" t="n">
        <v>260718</v>
      </c>
      <c r="T937" s="10" t="n">
        <v>26.1</v>
      </c>
      <c r="U937" s="9" t="n">
        <v>6</v>
      </c>
      <c r="V937" s="3" t="s">
        <v>83</v>
      </c>
      <c r="W937" s="9" t="n">
        <v>0.75</v>
      </c>
      <c r="Z937" s="3" t="s">
        <v>1578</v>
      </c>
      <c r="AA937" s="3" t="s">
        <v>2916</v>
      </c>
      <c r="AB937" s="11" t="n">
        <v>46127</v>
      </c>
    </row>
    <row r="938" customFormat="false" ht="15" hidden="false" customHeight="false" outlineLevel="0" collapsed="false">
      <c r="A938" s="3" t="s">
        <v>3018</v>
      </c>
      <c r="B938" s="3" t="s">
        <v>378</v>
      </c>
      <c r="C938" s="3" t="s">
        <v>2479</v>
      </c>
      <c r="D938" s="3" t="s">
        <v>384</v>
      </c>
      <c r="E938" s="3" t="s">
        <v>3019</v>
      </c>
      <c r="F938" s="3" t="s">
        <v>2748</v>
      </c>
      <c r="G938" s="3" t="s">
        <v>2337</v>
      </c>
      <c r="H938" s="3" t="s">
        <v>2749</v>
      </c>
      <c r="I938" s="3" t="s">
        <v>2907</v>
      </c>
      <c r="M938" s="8" t="n">
        <v>614907</v>
      </c>
      <c r="P938" s="9" t="n">
        <v>57</v>
      </c>
      <c r="Q938" s="9" t="n">
        <v>28.6</v>
      </c>
      <c r="R938" s="9" t="n">
        <v>1</v>
      </c>
      <c r="S938" s="8" t="n">
        <v>544511</v>
      </c>
      <c r="T938" s="10" t="n">
        <v>73.8</v>
      </c>
      <c r="U938" s="9" t="n">
        <v>10</v>
      </c>
      <c r="V938" s="3" t="s">
        <v>55</v>
      </c>
      <c r="W938" s="9" t="n">
        <v>0.75</v>
      </c>
      <c r="Z938" s="3" t="s">
        <v>1578</v>
      </c>
      <c r="AA938" s="3" t="s">
        <v>2916</v>
      </c>
      <c r="AB938" s="11" t="n">
        <v>46127</v>
      </c>
    </row>
    <row r="939" customFormat="false" ht="15" hidden="false" customHeight="false" outlineLevel="0" collapsed="false">
      <c r="A939" s="3" t="s">
        <v>3020</v>
      </c>
      <c r="B939" s="3" t="s">
        <v>378</v>
      </c>
      <c r="C939" s="3" t="s">
        <v>2483</v>
      </c>
      <c r="D939" s="3" t="s">
        <v>379</v>
      </c>
      <c r="E939" s="3" t="s">
        <v>3021</v>
      </c>
      <c r="F939" s="3" t="s">
        <v>2748</v>
      </c>
      <c r="G939" s="3" t="s">
        <v>2337</v>
      </c>
      <c r="H939" s="3" t="s">
        <v>2749</v>
      </c>
      <c r="I939" s="3" t="s">
        <v>3022</v>
      </c>
      <c r="M939" s="8" t="n">
        <v>135874</v>
      </c>
      <c r="P939" s="9" t="n">
        <v>70</v>
      </c>
      <c r="Q939" s="9" t="n">
        <v>22.9</v>
      </c>
      <c r="R939" s="9" t="n">
        <v>2</v>
      </c>
      <c r="S939" s="8" t="n">
        <v>158976</v>
      </c>
      <c r="T939" s="10" t="n">
        <v>30.6</v>
      </c>
      <c r="U939" s="9" t="n">
        <v>5</v>
      </c>
      <c r="V939" s="3" t="s">
        <v>92</v>
      </c>
      <c r="W939" s="9" t="n">
        <v>0.75</v>
      </c>
      <c r="Z939" s="3" t="s">
        <v>1578</v>
      </c>
      <c r="AA939" s="3" t="s">
        <v>2916</v>
      </c>
      <c r="AB939" s="11" t="n">
        <v>46127</v>
      </c>
    </row>
    <row r="940" customFormat="false" ht="15" hidden="false" customHeight="false" outlineLevel="0" collapsed="false">
      <c r="A940" s="3" t="s">
        <v>3023</v>
      </c>
      <c r="B940" s="3" t="s">
        <v>378</v>
      </c>
      <c r="C940" s="3" t="s">
        <v>2487</v>
      </c>
      <c r="D940" s="3" t="s">
        <v>384</v>
      </c>
      <c r="E940" s="3" t="s">
        <v>3024</v>
      </c>
      <c r="F940" s="3" t="s">
        <v>2748</v>
      </c>
      <c r="G940" s="3" t="s">
        <v>2337</v>
      </c>
      <c r="H940" s="3" t="s">
        <v>2749</v>
      </c>
      <c r="I940" s="3" t="s">
        <v>3025</v>
      </c>
      <c r="M940" s="8" t="n">
        <v>430611</v>
      </c>
      <c r="P940" s="9" t="n">
        <v>36</v>
      </c>
      <c r="Q940" s="9" t="n">
        <v>29.9</v>
      </c>
      <c r="R940" s="9" t="n">
        <v>1</v>
      </c>
      <c r="S940" s="8" t="n">
        <v>1031393</v>
      </c>
      <c r="T940" s="10" t="n">
        <v>56.6</v>
      </c>
      <c r="U940" s="9" t="n">
        <v>4</v>
      </c>
      <c r="V940" s="3" t="s">
        <v>55</v>
      </c>
      <c r="W940" s="9" t="n">
        <v>0.75</v>
      </c>
      <c r="Z940" s="3" t="s">
        <v>1578</v>
      </c>
      <c r="AA940" s="3" t="s">
        <v>2916</v>
      </c>
      <c r="AB940" s="11" t="n">
        <v>46127</v>
      </c>
    </row>
    <row r="941" customFormat="false" ht="15" hidden="false" customHeight="false" outlineLevel="0" collapsed="false">
      <c r="A941" s="3" t="s">
        <v>3026</v>
      </c>
      <c r="B941" s="3" t="s">
        <v>378</v>
      </c>
      <c r="C941" s="3" t="s">
        <v>2491</v>
      </c>
      <c r="D941" s="3" t="s">
        <v>384</v>
      </c>
      <c r="E941" s="3" t="s">
        <v>3027</v>
      </c>
      <c r="F941" s="3" t="s">
        <v>2748</v>
      </c>
      <c r="G941" s="3" t="s">
        <v>2337</v>
      </c>
      <c r="H941" s="3" t="s">
        <v>2749</v>
      </c>
      <c r="I941" s="3" t="s">
        <v>3028</v>
      </c>
      <c r="M941" s="8" t="n">
        <v>640840</v>
      </c>
      <c r="P941" s="9" t="n">
        <v>39</v>
      </c>
      <c r="Q941" s="9" t="n">
        <v>15</v>
      </c>
      <c r="R941" s="9" t="n">
        <v>1</v>
      </c>
      <c r="S941" s="8" t="n">
        <v>441857</v>
      </c>
      <c r="T941" s="10" t="n">
        <v>39.6</v>
      </c>
      <c r="U941" s="9" t="n">
        <v>9</v>
      </c>
      <c r="V941" s="3" t="s">
        <v>83</v>
      </c>
      <c r="W941" s="9" t="n">
        <v>0.75</v>
      </c>
      <c r="Z941" s="3" t="s">
        <v>1578</v>
      </c>
      <c r="AA941" s="3" t="s">
        <v>2916</v>
      </c>
      <c r="AB941" s="11" t="n">
        <v>46127</v>
      </c>
    </row>
    <row r="942" customFormat="false" ht="15" hidden="false" customHeight="false" outlineLevel="0" collapsed="false">
      <c r="A942" s="3" t="s">
        <v>3029</v>
      </c>
      <c r="B942" s="3" t="s">
        <v>378</v>
      </c>
      <c r="C942" s="3" t="s">
        <v>2495</v>
      </c>
      <c r="D942" s="3" t="s">
        <v>391</v>
      </c>
      <c r="E942" s="3" t="s">
        <v>3030</v>
      </c>
      <c r="F942" s="3" t="s">
        <v>2748</v>
      </c>
      <c r="G942" s="3" t="s">
        <v>2337</v>
      </c>
      <c r="H942" s="3" t="s">
        <v>2749</v>
      </c>
      <c r="I942" s="3" t="s">
        <v>3031</v>
      </c>
      <c r="M942" s="8" t="n">
        <v>362889</v>
      </c>
      <c r="P942" s="9" t="n">
        <v>42</v>
      </c>
      <c r="Q942" s="9" t="n">
        <v>2.1</v>
      </c>
      <c r="R942" s="9" t="n">
        <v>1</v>
      </c>
      <c r="S942" s="8" t="n">
        <v>4301617</v>
      </c>
      <c r="T942" s="10" t="n">
        <v>34.2</v>
      </c>
      <c r="U942" s="9" t="n">
        <v>1</v>
      </c>
      <c r="V942" s="3" t="s">
        <v>55</v>
      </c>
      <c r="W942" s="9" t="n">
        <v>0.75</v>
      </c>
      <c r="Z942" s="3" t="s">
        <v>1578</v>
      </c>
      <c r="AA942" s="3" t="s">
        <v>2916</v>
      </c>
      <c r="AB942" s="11" t="n">
        <v>46127</v>
      </c>
    </row>
    <row r="943" customFormat="false" ht="15" hidden="false" customHeight="false" outlineLevel="0" collapsed="false">
      <c r="A943" s="3" t="s">
        <v>3032</v>
      </c>
      <c r="B943" s="3" t="s">
        <v>378</v>
      </c>
      <c r="C943" s="3" t="s">
        <v>2499</v>
      </c>
      <c r="D943" s="3" t="s">
        <v>379</v>
      </c>
      <c r="E943" s="3" t="s">
        <v>3033</v>
      </c>
      <c r="F943" s="3" t="s">
        <v>2748</v>
      </c>
      <c r="G943" s="3" t="s">
        <v>2337</v>
      </c>
      <c r="H943" s="3" t="s">
        <v>2749</v>
      </c>
      <c r="I943" s="3" t="s">
        <v>3034</v>
      </c>
      <c r="M943" s="8" t="n">
        <v>179638</v>
      </c>
      <c r="P943" s="9" t="n">
        <v>44</v>
      </c>
      <c r="Q943" s="9" t="n">
        <v>11.2</v>
      </c>
      <c r="R943" s="9" t="n">
        <v>3</v>
      </c>
      <c r="S943" s="8" t="n">
        <v>783313</v>
      </c>
      <c r="T943" s="10" t="n">
        <v>21.7</v>
      </c>
      <c r="U943" s="9" t="n">
        <v>3</v>
      </c>
      <c r="V943" s="3" t="s">
        <v>83</v>
      </c>
      <c r="W943" s="9" t="n">
        <v>0.75</v>
      </c>
      <c r="Z943" s="3" t="s">
        <v>1578</v>
      </c>
      <c r="AA943" s="3" t="s">
        <v>2916</v>
      </c>
      <c r="AB943" s="11" t="n">
        <v>46127</v>
      </c>
    </row>
    <row r="944" customFormat="false" ht="15" hidden="false" customHeight="false" outlineLevel="0" collapsed="false">
      <c r="A944" s="3" t="s">
        <v>3035</v>
      </c>
      <c r="B944" s="3" t="s">
        <v>378</v>
      </c>
      <c r="C944" s="3" t="s">
        <v>2503</v>
      </c>
      <c r="D944" s="3" t="s">
        <v>379</v>
      </c>
      <c r="E944" s="3" t="s">
        <v>3036</v>
      </c>
      <c r="F944" s="3" t="s">
        <v>2748</v>
      </c>
      <c r="G944" s="3" t="s">
        <v>2337</v>
      </c>
      <c r="H944" s="3" t="s">
        <v>2749</v>
      </c>
      <c r="I944" s="3" t="s">
        <v>3037</v>
      </c>
      <c r="M944" s="8" t="n">
        <v>449592</v>
      </c>
      <c r="P944" s="9" t="n">
        <v>58</v>
      </c>
      <c r="Q944" s="9" t="n">
        <v>14</v>
      </c>
      <c r="R944" s="9" t="n">
        <v>1</v>
      </c>
      <c r="S944" s="8" t="n">
        <v>944521</v>
      </c>
      <c r="T944" s="10" t="n">
        <v>75.3</v>
      </c>
      <c r="U944" s="9" t="n">
        <v>6</v>
      </c>
      <c r="V944" s="3" t="s">
        <v>62</v>
      </c>
      <c r="W944" s="9" t="n">
        <v>0.75</v>
      </c>
      <c r="Z944" s="3" t="s">
        <v>1578</v>
      </c>
      <c r="AA944" s="3" t="s">
        <v>2916</v>
      </c>
      <c r="AB944" s="11" t="n">
        <v>46127</v>
      </c>
    </row>
    <row r="945" customFormat="false" ht="15" hidden="false" customHeight="false" outlineLevel="0" collapsed="false">
      <c r="A945" s="3" t="s">
        <v>3038</v>
      </c>
      <c r="B945" s="3" t="s">
        <v>378</v>
      </c>
      <c r="C945" s="3" t="s">
        <v>2507</v>
      </c>
      <c r="D945" s="3" t="s">
        <v>384</v>
      </c>
      <c r="E945" s="3" t="s">
        <v>3039</v>
      </c>
      <c r="F945" s="3" t="s">
        <v>2748</v>
      </c>
      <c r="G945" s="3" t="s">
        <v>2337</v>
      </c>
      <c r="H945" s="3" t="s">
        <v>2749</v>
      </c>
      <c r="I945" s="3" t="s">
        <v>3040</v>
      </c>
      <c r="M945" s="8" t="n">
        <v>344843</v>
      </c>
      <c r="P945" s="9" t="n">
        <v>58</v>
      </c>
      <c r="Q945" s="9" t="n">
        <v>23</v>
      </c>
      <c r="R945" s="9" t="n">
        <v>1</v>
      </c>
      <c r="S945" s="8" t="n">
        <v>569809</v>
      </c>
      <c r="T945" s="10" t="n">
        <v>61.5</v>
      </c>
      <c r="U945" s="9" t="n">
        <v>1</v>
      </c>
      <c r="V945" s="3" t="s">
        <v>55</v>
      </c>
      <c r="W945" s="9" t="n">
        <v>0.75</v>
      </c>
      <c r="Z945" s="3" t="s">
        <v>1578</v>
      </c>
      <c r="AA945" s="3" t="s">
        <v>2916</v>
      </c>
      <c r="AB945" s="11" t="n">
        <v>46127</v>
      </c>
    </row>
    <row r="946" customFormat="false" ht="15" hidden="false" customHeight="false" outlineLevel="0" collapsed="false">
      <c r="A946" s="3" t="s">
        <v>3041</v>
      </c>
      <c r="B946" s="3" t="s">
        <v>378</v>
      </c>
      <c r="C946" s="3" t="s">
        <v>2511</v>
      </c>
      <c r="D946" s="3" t="s">
        <v>384</v>
      </c>
      <c r="E946" s="3" t="s">
        <v>3042</v>
      </c>
      <c r="F946" s="3" t="s">
        <v>2748</v>
      </c>
      <c r="G946" s="3" t="s">
        <v>2337</v>
      </c>
      <c r="H946" s="3" t="s">
        <v>2749</v>
      </c>
      <c r="I946" s="3" t="s">
        <v>3043</v>
      </c>
      <c r="M946" s="8" t="n">
        <v>102019</v>
      </c>
      <c r="P946" s="9" t="n">
        <v>48</v>
      </c>
      <c r="Q946" s="9" t="n">
        <v>2.3</v>
      </c>
      <c r="R946" s="9" t="n">
        <v>1</v>
      </c>
      <c r="S946" s="8" t="n">
        <v>625208</v>
      </c>
      <c r="T946" s="10" t="n">
        <v>74</v>
      </c>
      <c r="U946" s="9" t="n">
        <v>7</v>
      </c>
      <c r="V946" s="3" t="s">
        <v>83</v>
      </c>
      <c r="W946" s="9" t="n">
        <v>0.75</v>
      </c>
      <c r="Z946" s="3" t="s">
        <v>1578</v>
      </c>
      <c r="AA946" s="3" t="s">
        <v>2916</v>
      </c>
      <c r="AB946" s="11" t="n">
        <v>46127</v>
      </c>
    </row>
    <row r="947" customFormat="false" ht="15" hidden="false" customHeight="false" outlineLevel="0" collapsed="false">
      <c r="A947" s="3" t="s">
        <v>3044</v>
      </c>
      <c r="B947" s="3" t="s">
        <v>378</v>
      </c>
      <c r="C947" s="3" t="s">
        <v>2515</v>
      </c>
      <c r="D947" s="3" t="s">
        <v>384</v>
      </c>
      <c r="E947" s="3" t="s">
        <v>3045</v>
      </c>
      <c r="F947" s="3" t="s">
        <v>2748</v>
      </c>
      <c r="G947" s="3" t="s">
        <v>2337</v>
      </c>
      <c r="H947" s="3" t="s">
        <v>2749</v>
      </c>
      <c r="I947" s="3" t="s">
        <v>3046</v>
      </c>
      <c r="M947" s="8" t="n">
        <v>429583</v>
      </c>
      <c r="P947" s="9" t="n">
        <v>55</v>
      </c>
      <c r="Q947" s="9" t="n">
        <v>17.5</v>
      </c>
      <c r="R947" s="9" t="n">
        <v>1</v>
      </c>
      <c r="S947" s="8" t="n">
        <v>281255</v>
      </c>
      <c r="T947" s="10" t="n">
        <v>89.9</v>
      </c>
      <c r="U947" s="9" t="n">
        <v>1</v>
      </c>
      <c r="V947" s="3" t="s">
        <v>55</v>
      </c>
      <c r="W947" s="9" t="n">
        <v>0.75</v>
      </c>
      <c r="Z947" s="3" t="s">
        <v>1578</v>
      </c>
      <c r="AA947" s="3" t="s">
        <v>2916</v>
      </c>
      <c r="AB947" s="11" t="n">
        <v>46127</v>
      </c>
    </row>
    <row r="948" customFormat="false" ht="15" hidden="false" customHeight="false" outlineLevel="0" collapsed="false">
      <c r="A948" s="3" t="s">
        <v>3047</v>
      </c>
      <c r="B948" s="3" t="s">
        <v>378</v>
      </c>
      <c r="C948" s="3" t="s">
        <v>2519</v>
      </c>
      <c r="D948" s="3" t="s">
        <v>391</v>
      </c>
      <c r="E948" s="3" t="s">
        <v>3048</v>
      </c>
      <c r="F948" s="3" t="s">
        <v>2748</v>
      </c>
      <c r="G948" s="3" t="s">
        <v>2337</v>
      </c>
      <c r="H948" s="3" t="s">
        <v>2749</v>
      </c>
      <c r="I948" s="3" t="s">
        <v>3049</v>
      </c>
      <c r="M948" s="8" t="n">
        <v>225047</v>
      </c>
      <c r="P948" s="9" t="n">
        <v>70</v>
      </c>
      <c r="Q948" s="9" t="n">
        <v>12.3</v>
      </c>
      <c r="R948" s="9" t="n">
        <v>1</v>
      </c>
      <c r="S948" s="8" t="n">
        <v>1878268</v>
      </c>
      <c r="T948" s="10" t="n">
        <v>30.1</v>
      </c>
      <c r="U948" s="9" t="n">
        <v>5</v>
      </c>
      <c r="V948" s="3" t="s">
        <v>83</v>
      </c>
      <c r="W948" s="9" t="n">
        <v>0.75</v>
      </c>
      <c r="Z948" s="3" t="s">
        <v>1578</v>
      </c>
      <c r="AA948" s="3" t="s">
        <v>2916</v>
      </c>
      <c r="AB948" s="11" t="n">
        <v>46127</v>
      </c>
    </row>
    <row r="949" customFormat="false" ht="15" hidden="false" customHeight="false" outlineLevel="0" collapsed="false">
      <c r="A949" s="3" t="s">
        <v>3050</v>
      </c>
      <c r="B949" s="3" t="s">
        <v>378</v>
      </c>
      <c r="C949" s="3" t="s">
        <v>2523</v>
      </c>
      <c r="D949" s="3" t="s">
        <v>391</v>
      </c>
      <c r="E949" s="3" t="s">
        <v>3051</v>
      </c>
      <c r="F949" s="3" t="s">
        <v>2748</v>
      </c>
      <c r="G949" s="3" t="s">
        <v>2337</v>
      </c>
      <c r="H949" s="3" t="s">
        <v>2749</v>
      </c>
      <c r="I949" s="3" t="s">
        <v>1145</v>
      </c>
      <c r="M949" s="8" t="n">
        <v>260500</v>
      </c>
      <c r="P949" s="9" t="n">
        <v>52</v>
      </c>
      <c r="Q949" s="9" t="n">
        <v>3.2</v>
      </c>
      <c r="R949" s="9" t="n">
        <v>1</v>
      </c>
      <c r="S949" s="8" t="n">
        <v>809719</v>
      </c>
      <c r="T949" s="10" t="n">
        <v>30.7</v>
      </c>
      <c r="U949" s="9" t="n">
        <v>5</v>
      </c>
      <c r="V949" s="3" t="s">
        <v>55</v>
      </c>
      <c r="W949" s="9" t="n">
        <v>0.75</v>
      </c>
      <c r="Z949" s="3" t="s">
        <v>1578</v>
      </c>
      <c r="AA949" s="3" t="s">
        <v>2916</v>
      </c>
      <c r="AB949" s="11" t="n">
        <v>46127</v>
      </c>
    </row>
    <row r="950" customFormat="false" ht="15" hidden="false" customHeight="false" outlineLevel="0" collapsed="false">
      <c r="A950" s="3" t="s">
        <v>3052</v>
      </c>
      <c r="B950" s="3" t="s">
        <v>378</v>
      </c>
      <c r="C950" s="3" t="s">
        <v>2527</v>
      </c>
      <c r="D950" s="3" t="s">
        <v>379</v>
      </c>
      <c r="E950" s="3" t="s">
        <v>3053</v>
      </c>
      <c r="F950" s="3" t="s">
        <v>2748</v>
      </c>
      <c r="G950" s="3" t="s">
        <v>2337</v>
      </c>
      <c r="H950" s="3" t="s">
        <v>2749</v>
      </c>
      <c r="I950" s="3" t="s">
        <v>3054</v>
      </c>
      <c r="M950" s="8" t="n">
        <v>263566</v>
      </c>
      <c r="P950" s="9" t="n">
        <v>49</v>
      </c>
      <c r="Q950" s="9" t="n">
        <v>17.4</v>
      </c>
      <c r="R950" s="9" t="n">
        <v>1</v>
      </c>
      <c r="S950" s="8" t="n">
        <v>366962</v>
      </c>
      <c r="T950" s="10" t="n">
        <v>21.3</v>
      </c>
      <c r="U950" s="9" t="n">
        <v>9</v>
      </c>
      <c r="V950" s="3" t="s">
        <v>55</v>
      </c>
      <c r="W950" s="9" t="n">
        <v>0.75</v>
      </c>
      <c r="Z950" s="3" t="s">
        <v>1578</v>
      </c>
      <c r="AA950" s="3" t="s">
        <v>2916</v>
      </c>
      <c r="AB950" s="11" t="n">
        <v>46127</v>
      </c>
    </row>
    <row r="951" customFormat="false" ht="15" hidden="false" customHeight="false" outlineLevel="0" collapsed="false">
      <c r="A951" s="3" t="s">
        <v>3055</v>
      </c>
      <c r="B951" s="3" t="s">
        <v>378</v>
      </c>
      <c r="C951" s="3" t="s">
        <v>2531</v>
      </c>
      <c r="D951" s="3" t="s">
        <v>379</v>
      </c>
      <c r="E951" s="3" t="s">
        <v>3056</v>
      </c>
      <c r="F951" s="3" t="s">
        <v>2748</v>
      </c>
      <c r="G951" s="3" t="s">
        <v>2337</v>
      </c>
      <c r="H951" s="3" t="s">
        <v>2749</v>
      </c>
      <c r="I951" s="3" t="s">
        <v>3057</v>
      </c>
      <c r="M951" s="8" t="n">
        <v>228271</v>
      </c>
      <c r="P951" s="9" t="n">
        <v>71</v>
      </c>
      <c r="Q951" s="9" t="n">
        <v>28</v>
      </c>
      <c r="R951" s="9" t="n">
        <v>1</v>
      </c>
      <c r="S951" s="8" t="n">
        <v>700757</v>
      </c>
      <c r="T951" s="10" t="n">
        <v>18.8</v>
      </c>
      <c r="U951" s="9" t="n">
        <v>7</v>
      </c>
      <c r="V951" s="3" t="s">
        <v>55</v>
      </c>
      <c r="W951" s="9" t="n">
        <v>0.75</v>
      </c>
      <c r="Z951" s="3" t="s">
        <v>1578</v>
      </c>
      <c r="AA951" s="3" t="s">
        <v>2916</v>
      </c>
      <c r="AB951" s="11" t="n">
        <v>46127</v>
      </c>
    </row>
    <row r="952" customFormat="false" ht="15" hidden="false" customHeight="false" outlineLevel="0" collapsed="false">
      <c r="A952" s="3" t="s">
        <v>3058</v>
      </c>
      <c r="B952" s="3" t="s">
        <v>378</v>
      </c>
      <c r="C952" s="3" t="s">
        <v>2535</v>
      </c>
      <c r="D952" s="3" t="s">
        <v>379</v>
      </c>
      <c r="E952" s="3" t="s">
        <v>3059</v>
      </c>
      <c r="F952" s="3" t="s">
        <v>2748</v>
      </c>
      <c r="G952" s="3" t="s">
        <v>2337</v>
      </c>
      <c r="H952" s="3" t="s">
        <v>2749</v>
      </c>
      <c r="I952" s="3" t="s">
        <v>3060</v>
      </c>
      <c r="M952" s="8" t="n">
        <v>455406</v>
      </c>
      <c r="P952" s="9" t="n">
        <v>68</v>
      </c>
      <c r="Q952" s="9" t="n">
        <v>4.6</v>
      </c>
      <c r="R952" s="9" t="n">
        <v>1</v>
      </c>
      <c r="S952" s="8" t="n">
        <v>502251</v>
      </c>
      <c r="T952" s="10" t="n">
        <v>40.8</v>
      </c>
      <c r="U952" s="9" t="n">
        <v>4</v>
      </c>
      <c r="V952" s="3" t="s">
        <v>55</v>
      </c>
      <c r="W952" s="9" t="n">
        <v>0.75</v>
      </c>
      <c r="Z952" s="3" t="s">
        <v>1578</v>
      </c>
      <c r="AA952" s="3" t="s">
        <v>2916</v>
      </c>
      <c r="AB952" s="11" t="n">
        <v>46127</v>
      </c>
    </row>
    <row r="953" customFormat="false" ht="15" hidden="false" customHeight="false" outlineLevel="0" collapsed="false">
      <c r="A953" s="3" t="s">
        <v>3061</v>
      </c>
      <c r="B953" s="3" t="s">
        <v>378</v>
      </c>
      <c r="C953" s="3" t="s">
        <v>2539</v>
      </c>
      <c r="D953" s="3" t="s">
        <v>391</v>
      </c>
      <c r="E953" s="3" t="s">
        <v>3062</v>
      </c>
      <c r="F953" s="3" t="s">
        <v>2748</v>
      </c>
      <c r="G953" s="3" t="s">
        <v>2337</v>
      </c>
      <c r="H953" s="3" t="s">
        <v>2749</v>
      </c>
      <c r="I953" s="3" t="s">
        <v>3063</v>
      </c>
      <c r="M953" s="8" t="n">
        <v>374129</v>
      </c>
      <c r="P953" s="9" t="n">
        <v>74</v>
      </c>
      <c r="Q953" s="9" t="n">
        <v>15.9</v>
      </c>
      <c r="R953" s="9" t="n">
        <v>1</v>
      </c>
      <c r="S953" s="8" t="n">
        <v>437718</v>
      </c>
      <c r="T953" s="10" t="n">
        <v>24.7</v>
      </c>
      <c r="U953" s="9" t="n">
        <v>7</v>
      </c>
      <c r="V953" s="3" t="s">
        <v>83</v>
      </c>
      <c r="W953" s="9" t="n">
        <v>0.75</v>
      </c>
      <c r="Z953" s="3" t="s">
        <v>1578</v>
      </c>
      <c r="AA953" s="3" t="s">
        <v>2916</v>
      </c>
      <c r="AB953" s="11" t="n">
        <v>46127</v>
      </c>
    </row>
    <row r="954" customFormat="false" ht="15" hidden="false" customHeight="false" outlineLevel="0" collapsed="false">
      <c r="A954" s="3" t="s">
        <v>3064</v>
      </c>
      <c r="B954" s="3" t="s">
        <v>378</v>
      </c>
      <c r="C954" s="3" t="s">
        <v>2543</v>
      </c>
      <c r="D954" s="3" t="s">
        <v>379</v>
      </c>
      <c r="E954" s="3" t="s">
        <v>3065</v>
      </c>
      <c r="F954" s="3" t="s">
        <v>2748</v>
      </c>
      <c r="G954" s="3" t="s">
        <v>2337</v>
      </c>
      <c r="H954" s="3" t="s">
        <v>2749</v>
      </c>
      <c r="I954" s="3" t="s">
        <v>3066</v>
      </c>
      <c r="M954" s="8" t="n">
        <v>215017</v>
      </c>
      <c r="P954" s="9" t="n">
        <v>47</v>
      </c>
      <c r="Q954" s="9" t="n">
        <v>19.6</v>
      </c>
      <c r="R954" s="9" t="n">
        <v>1</v>
      </c>
      <c r="S954" s="8" t="n">
        <v>298090</v>
      </c>
      <c r="T954" s="10" t="n">
        <v>29.6</v>
      </c>
      <c r="U954" s="9" t="n">
        <v>7</v>
      </c>
      <c r="V954" s="3" t="s">
        <v>62</v>
      </c>
      <c r="W954" s="9" t="n">
        <v>0.75</v>
      </c>
      <c r="Z954" s="3" t="s">
        <v>1578</v>
      </c>
      <c r="AA954" s="3" t="s">
        <v>2916</v>
      </c>
      <c r="AB954" s="11" t="n">
        <v>46127</v>
      </c>
    </row>
    <row r="955" customFormat="false" ht="15" hidden="false" customHeight="false" outlineLevel="0" collapsed="false">
      <c r="A955" s="3" t="s">
        <v>3067</v>
      </c>
      <c r="B955" s="3" t="s">
        <v>378</v>
      </c>
      <c r="C955" s="3" t="s">
        <v>2547</v>
      </c>
      <c r="D955" s="3" t="s">
        <v>391</v>
      </c>
      <c r="E955" s="3" t="s">
        <v>3068</v>
      </c>
      <c r="F955" s="3" t="s">
        <v>2748</v>
      </c>
      <c r="G955" s="3" t="s">
        <v>2337</v>
      </c>
      <c r="H955" s="3" t="s">
        <v>2749</v>
      </c>
      <c r="I955" s="3" t="s">
        <v>3069</v>
      </c>
      <c r="M955" s="8" t="n">
        <v>326310</v>
      </c>
      <c r="P955" s="9" t="n">
        <v>72</v>
      </c>
      <c r="Q955" s="9" t="n">
        <v>21.5</v>
      </c>
      <c r="R955" s="9" t="n">
        <v>1</v>
      </c>
      <c r="S955" s="8" t="n">
        <v>495114</v>
      </c>
      <c r="T955" s="10" t="n">
        <v>70.8</v>
      </c>
      <c r="U955" s="9" t="n">
        <v>1</v>
      </c>
      <c r="V955" s="3" t="s">
        <v>62</v>
      </c>
      <c r="W955" s="9" t="n">
        <v>0.75</v>
      </c>
      <c r="Z955" s="3" t="s">
        <v>1578</v>
      </c>
      <c r="AA955" s="3" t="s">
        <v>2916</v>
      </c>
      <c r="AB955" s="11" t="n">
        <v>46127</v>
      </c>
    </row>
    <row r="956" customFormat="false" ht="15" hidden="false" customHeight="false" outlineLevel="0" collapsed="false">
      <c r="A956" s="3" t="s">
        <v>3070</v>
      </c>
      <c r="B956" s="3" t="s">
        <v>378</v>
      </c>
      <c r="C956" s="3" t="s">
        <v>2551</v>
      </c>
      <c r="D956" s="3" t="s">
        <v>391</v>
      </c>
      <c r="E956" s="3" t="s">
        <v>3071</v>
      </c>
      <c r="F956" s="3" t="s">
        <v>2748</v>
      </c>
      <c r="G956" s="3" t="s">
        <v>2337</v>
      </c>
      <c r="H956" s="3" t="s">
        <v>2749</v>
      </c>
      <c r="I956" s="3" t="s">
        <v>3072</v>
      </c>
      <c r="M956" s="8" t="n">
        <v>253117</v>
      </c>
      <c r="P956" s="9" t="n">
        <v>69</v>
      </c>
      <c r="Q956" s="9" t="n">
        <v>26.7</v>
      </c>
      <c r="R956" s="9" t="n">
        <v>3</v>
      </c>
      <c r="S956" s="8" t="n">
        <v>608734</v>
      </c>
      <c r="T956" s="10" t="n">
        <v>62.4</v>
      </c>
      <c r="U956" s="9" t="n">
        <v>8</v>
      </c>
      <c r="V956" s="3" t="s">
        <v>55</v>
      </c>
      <c r="W956" s="9" t="n">
        <v>0.75</v>
      </c>
      <c r="Z956" s="3" t="s">
        <v>1578</v>
      </c>
      <c r="AA956" s="3" t="s">
        <v>2916</v>
      </c>
      <c r="AB956" s="11" t="n">
        <v>46127</v>
      </c>
    </row>
    <row r="957" customFormat="false" ht="15" hidden="false" customHeight="false" outlineLevel="0" collapsed="false">
      <c r="A957" s="3" t="s">
        <v>3073</v>
      </c>
      <c r="B957" s="3" t="s">
        <v>378</v>
      </c>
      <c r="C957" s="3" t="s">
        <v>2555</v>
      </c>
      <c r="D957" s="3" t="s">
        <v>384</v>
      </c>
      <c r="E957" s="3" t="s">
        <v>3074</v>
      </c>
      <c r="F957" s="3" t="s">
        <v>2748</v>
      </c>
      <c r="G957" s="3" t="s">
        <v>2337</v>
      </c>
      <c r="H957" s="3" t="s">
        <v>2749</v>
      </c>
      <c r="I957" s="3" t="s">
        <v>3075</v>
      </c>
      <c r="M957" s="8" t="n">
        <v>112649</v>
      </c>
      <c r="P957" s="9" t="n">
        <v>58</v>
      </c>
      <c r="Q957" s="9" t="n">
        <v>2.7</v>
      </c>
      <c r="R957" s="9" t="n">
        <v>1</v>
      </c>
      <c r="S957" s="8" t="n">
        <v>726715</v>
      </c>
      <c r="T957" s="10" t="n">
        <v>79.1</v>
      </c>
      <c r="U957" s="9" t="n">
        <v>7</v>
      </c>
      <c r="V957" s="3" t="s">
        <v>92</v>
      </c>
      <c r="W957" s="9" t="n">
        <v>0.75</v>
      </c>
      <c r="Z957" s="3" t="s">
        <v>1578</v>
      </c>
      <c r="AA957" s="3" t="s">
        <v>2916</v>
      </c>
      <c r="AB957" s="11" t="n">
        <v>46127</v>
      </c>
    </row>
    <row r="958" customFormat="false" ht="15" hidden="false" customHeight="false" outlineLevel="0" collapsed="false">
      <c r="A958" s="3" t="s">
        <v>3076</v>
      </c>
      <c r="B958" s="3" t="s">
        <v>378</v>
      </c>
      <c r="C958" s="3" t="s">
        <v>2559</v>
      </c>
      <c r="D958" s="3" t="s">
        <v>379</v>
      </c>
      <c r="E958" s="3" t="s">
        <v>3077</v>
      </c>
      <c r="F958" s="3" t="s">
        <v>2748</v>
      </c>
      <c r="G958" s="3" t="s">
        <v>2337</v>
      </c>
      <c r="H958" s="3" t="s">
        <v>2749</v>
      </c>
      <c r="I958" s="3" t="s">
        <v>3078</v>
      </c>
      <c r="M958" s="8" t="n">
        <v>797674</v>
      </c>
      <c r="P958" s="9" t="n">
        <v>37</v>
      </c>
      <c r="Q958" s="9" t="n">
        <v>10.1</v>
      </c>
      <c r="R958" s="9" t="n">
        <v>1</v>
      </c>
      <c r="S958" s="8" t="n">
        <v>658711</v>
      </c>
      <c r="T958" s="10" t="n">
        <v>19.7</v>
      </c>
      <c r="U958" s="9" t="n">
        <v>7</v>
      </c>
      <c r="V958" s="3" t="s">
        <v>55</v>
      </c>
      <c r="W958" s="9" t="n">
        <v>0.75</v>
      </c>
      <c r="Z958" s="3" t="s">
        <v>1578</v>
      </c>
      <c r="AA958" s="3" t="s">
        <v>2916</v>
      </c>
      <c r="AB958" s="11" t="n">
        <v>46127</v>
      </c>
    </row>
    <row r="959" customFormat="false" ht="15" hidden="false" customHeight="false" outlineLevel="0" collapsed="false">
      <c r="A959" s="3" t="s">
        <v>3079</v>
      </c>
      <c r="B959" s="3" t="s">
        <v>378</v>
      </c>
      <c r="C959" s="3" t="s">
        <v>2563</v>
      </c>
      <c r="D959" s="3" t="s">
        <v>379</v>
      </c>
      <c r="E959" s="3" t="s">
        <v>3080</v>
      </c>
      <c r="F959" s="3" t="s">
        <v>2748</v>
      </c>
      <c r="G959" s="3" t="s">
        <v>2337</v>
      </c>
      <c r="H959" s="3" t="s">
        <v>2749</v>
      </c>
      <c r="I959" s="3" t="s">
        <v>3081</v>
      </c>
      <c r="M959" s="8" t="n">
        <v>496865</v>
      </c>
      <c r="P959" s="9" t="n">
        <v>70</v>
      </c>
      <c r="Q959" s="9" t="n">
        <v>17.5</v>
      </c>
      <c r="R959" s="9" t="n">
        <v>1</v>
      </c>
      <c r="S959" s="8" t="n">
        <v>314980</v>
      </c>
      <c r="T959" s="10" t="n">
        <v>19.6</v>
      </c>
      <c r="U959" s="9" t="n">
        <v>7</v>
      </c>
      <c r="V959" s="3" t="s">
        <v>92</v>
      </c>
      <c r="W959" s="9" t="n">
        <v>0.75</v>
      </c>
      <c r="Z959" s="3" t="s">
        <v>1578</v>
      </c>
      <c r="AA959" s="3" t="s">
        <v>2916</v>
      </c>
      <c r="AB959" s="11" t="n">
        <v>46127</v>
      </c>
    </row>
    <row r="960" customFormat="false" ht="15" hidden="false" customHeight="false" outlineLevel="0" collapsed="false">
      <c r="A960" s="3" t="s">
        <v>3082</v>
      </c>
      <c r="B960" s="3" t="s">
        <v>378</v>
      </c>
      <c r="C960" s="3" t="s">
        <v>2567</v>
      </c>
      <c r="D960" s="3" t="s">
        <v>379</v>
      </c>
      <c r="E960" s="3" t="s">
        <v>3083</v>
      </c>
      <c r="F960" s="3" t="s">
        <v>2748</v>
      </c>
      <c r="G960" s="3" t="s">
        <v>2337</v>
      </c>
      <c r="H960" s="3" t="s">
        <v>2749</v>
      </c>
      <c r="I960" s="3" t="s">
        <v>3084</v>
      </c>
      <c r="M960" s="8" t="n">
        <v>352344</v>
      </c>
      <c r="P960" s="9" t="n">
        <v>42</v>
      </c>
      <c r="Q960" s="9" t="n">
        <v>5.9</v>
      </c>
      <c r="R960" s="9" t="n">
        <v>1</v>
      </c>
      <c r="S960" s="8" t="n">
        <v>581804</v>
      </c>
      <c r="T960" s="10" t="n">
        <v>47.6</v>
      </c>
      <c r="U960" s="9" t="n">
        <v>6</v>
      </c>
      <c r="V960" s="3" t="s">
        <v>92</v>
      </c>
      <c r="W960" s="9" t="n">
        <v>0.75</v>
      </c>
      <c r="Z960" s="3" t="s">
        <v>1578</v>
      </c>
      <c r="AA960" s="3" t="s">
        <v>2916</v>
      </c>
      <c r="AB960" s="11" t="n">
        <v>46127</v>
      </c>
    </row>
    <row r="961" customFormat="false" ht="15" hidden="false" customHeight="false" outlineLevel="0" collapsed="false">
      <c r="A961" s="3" t="s">
        <v>3085</v>
      </c>
      <c r="B961" s="3" t="s">
        <v>378</v>
      </c>
      <c r="C961" s="3" t="s">
        <v>2571</v>
      </c>
      <c r="D961" s="3" t="s">
        <v>391</v>
      </c>
      <c r="E961" s="3" t="s">
        <v>1028</v>
      </c>
      <c r="F961" s="3" t="s">
        <v>2748</v>
      </c>
      <c r="G961" s="3" t="s">
        <v>2337</v>
      </c>
      <c r="H961" s="3" t="s">
        <v>2749</v>
      </c>
      <c r="I961" s="3" t="s">
        <v>3086</v>
      </c>
      <c r="M961" s="8" t="n">
        <v>435826</v>
      </c>
      <c r="P961" s="9" t="n">
        <v>73</v>
      </c>
      <c r="Q961" s="9" t="n">
        <v>23.2</v>
      </c>
      <c r="R961" s="9" t="n">
        <v>2</v>
      </c>
      <c r="S961" s="8" t="n">
        <v>360161</v>
      </c>
      <c r="T961" s="10" t="n">
        <v>20</v>
      </c>
      <c r="U961" s="9" t="n">
        <v>4</v>
      </c>
      <c r="V961" s="3" t="s">
        <v>83</v>
      </c>
      <c r="W961" s="9" t="n">
        <v>0.75</v>
      </c>
      <c r="Z961" s="3" t="s">
        <v>1578</v>
      </c>
      <c r="AA961" s="3" t="s">
        <v>2916</v>
      </c>
      <c r="AB961" s="11" t="n">
        <v>46127</v>
      </c>
    </row>
  </sheetData>
  <autoFilter ref="A1:AB9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2" t="s">
        <v>3087</v>
      </c>
    </row>
    <row r="3" customFormat="false" ht="15" hidden="false" customHeight="false" outlineLevel="0" collapsed="false">
      <c r="A3" s="7" t="s">
        <v>20</v>
      </c>
      <c r="B3" s="7" t="s">
        <v>3088</v>
      </c>
      <c r="C3" s="7" t="s">
        <v>3089</v>
      </c>
      <c r="D3" s="7" t="s">
        <v>3090</v>
      </c>
      <c r="E3" s="7" t="s">
        <v>3091</v>
      </c>
    </row>
    <row r="4" customFormat="false" ht="15" hidden="false" customHeight="false" outlineLevel="0" collapsed="false">
      <c r="A4" s="13" t="s">
        <v>378</v>
      </c>
      <c r="B4" s="13" t="n">
        <f aca="false">COUNTIF(Prospects!B:B,"Commercial")</f>
        <v>480</v>
      </c>
      <c r="C4" s="13" t="n">
        <f aca="false">COUNTIFS(Prospects!B:B,"Commercial",Prospects!V:V,"A")</f>
        <v>94</v>
      </c>
      <c r="D4" s="14" t="n">
        <f aca="false">IFERROR(AVERAGEIF(Prospects!B:B,"Commercial",Prospects!T:T),0)</f>
        <v>52.255</v>
      </c>
      <c r="E4" s="15" t="n">
        <f aca="false">IFERROR(AVERAGEIF(Prospects!B:B,"Commercial",Prospects!N:N),0)</f>
        <v>0</v>
      </c>
    </row>
    <row r="5" customFormat="false" ht="15" hidden="false" customHeight="false" outlineLevel="0" collapsed="false">
      <c r="A5" s="13" t="s">
        <v>48</v>
      </c>
      <c r="B5" s="13" t="n">
        <f aca="false">COUNTIF(Prospects!B:B,"Residential")</f>
        <v>480</v>
      </c>
      <c r="C5" s="13" t="n">
        <f aca="false">COUNTIFS(Prospects!B:B,"Residential",Prospects!V:V,"A")</f>
        <v>93</v>
      </c>
      <c r="D5" s="14" t="n">
        <f aca="false">IFERROR(AVERAGEIF(Prospects!B:B,"Residential",Prospects!T:T),0)</f>
        <v>54.8160416666667</v>
      </c>
      <c r="E5" s="15" t="n">
        <f aca="false">IFERROR(AVERAGEIF(Prospects!B:B,"Residential",Prospects!N:N),0)</f>
        <v>320293.864583333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2" t="s">
        <v>3092</v>
      </c>
    </row>
    <row r="3" customFormat="false" ht="15" hidden="false" customHeight="false" outlineLevel="0" collapsed="false">
      <c r="A3" s="7" t="s">
        <v>44</v>
      </c>
      <c r="B3" s="7" t="s">
        <v>3088</v>
      </c>
      <c r="C3" s="7" t="s">
        <v>3089</v>
      </c>
      <c r="D3" s="7" t="s">
        <v>3090</v>
      </c>
    </row>
    <row r="4" customFormat="false" ht="15" hidden="false" customHeight="false" outlineLevel="0" collapsed="false">
      <c r="A4" s="13" t="s">
        <v>56</v>
      </c>
      <c r="B4" s="13" t="n">
        <f aca="false">COUNTIF(Prospects!Z:Z,"tier_1_home_az")</f>
        <v>480</v>
      </c>
      <c r="C4" s="13" t="n">
        <f aca="false">COUNTIFS(Prospects!Z:Z,"tier_1_home_az",Prospects!V:V,"A")</f>
        <v>90</v>
      </c>
      <c r="D4" s="14" t="n">
        <f aca="false">IFERROR(AVERAGEIF(Prospects!Z:Z,"tier_1_home_az",Prospects!T:T),0)</f>
        <v>55.1204166666667</v>
      </c>
    </row>
    <row r="5" customFormat="false" ht="15" hidden="false" customHeight="false" outlineLevel="0" collapsed="false">
      <c r="A5" s="13" t="s">
        <v>1578</v>
      </c>
      <c r="B5" s="13" t="n">
        <f aca="false">COUNTIF(Prospects!Z:Z,"tier_3_nm_wa_licensed")</f>
        <v>480</v>
      </c>
      <c r="C5" s="13" t="n">
        <f aca="false">COUNTIFS(Prospects!Z:Z,"tier_3_nm_wa_licensed",Prospects!V:V,"A")</f>
        <v>97</v>
      </c>
      <c r="D5" s="14" t="n">
        <f aca="false">IFERROR(AVERAGEIF(Prospects!Z:Z,"tier_3_nm_wa_licensed",Prospects!T:T),0)</f>
        <v>51.950625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2" t="s">
        <v>3093</v>
      </c>
    </row>
    <row r="3" customFormat="false" ht="15" hidden="false" customHeight="false" outlineLevel="0" collapsed="false">
      <c r="A3" s="7" t="s">
        <v>3094</v>
      </c>
      <c r="B3" s="7" t="s">
        <v>3095</v>
      </c>
      <c r="C3" s="7" t="s">
        <v>3096</v>
      </c>
    </row>
    <row r="4" customFormat="false" ht="15" hidden="false" customHeight="false" outlineLevel="0" collapsed="false">
      <c r="A4" s="3" t="s">
        <v>3097</v>
      </c>
      <c r="B4" s="3" t="s">
        <v>19</v>
      </c>
      <c r="C4" s="3" t="s">
        <v>3098</v>
      </c>
    </row>
    <row r="5" customFormat="false" ht="15" hidden="false" customHeight="false" outlineLevel="0" collapsed="false">
      <c r="A5" s="3" t="s">
        <v>3099</v>
      </c>
      <c r="B5" s="3" t="s">
        <v>20</v>
      </c>
      <c r="C5" s="3" t="s">
        <v>3098</v>
      </c>
    </row>
    <row r="6" customFormat="false" ht="15" hidden="false" customHeight="false" outlineLevel="0" collapsed="false">
      <c r="A6" s="3" t="s">
        <v>3100</v>
      </c>
      <c r="B6" s="3" t="s">
        <v>21</v>
      </c>
      <c r="C6" s="3" t="s">
        <v>3098</v>
      </c>
    </row>
    <row r="7" customFormat="false" ht="15" hidden="false" customHeight="false" outlineLevel="0" collapsed="false">
      <c r="A7" s="3" t="s">
        <v>3101</v>
      </c>
      <c r="B7" s="3" t="s">
        <v>22</v>
      </c>
      <c r="C7" s="3" t="s">
        <v>3098</v>
      </c>
    </row>
    <row r="8" customFormat="false" ht="15" hidden="false" customHeight="false" outlineLevel="0" collapsed="false">
      <c r="A8" s="3" t="s">
        <v>3102</v>
      </c>
      <c r="B8" s="3" t="s">
        <v>23</v>
      </c>
      <c r="C8" s="3" t="s">
        <v>3098</v>
      </c>
    </row>
    <row r="9" customFormat="false" ht="15" hidden="false" customHeight="false" outlineLevel="0" collapsed="false">
      <c r="A9" s="3" t="s">
        <v>3103</v>
      </c>
      <c r="B9" s="3" t="s">
        <v>24</v>
      </c>
      <c r="C9" s="3" t="s">
        <v>3098</v>
      </c>
    </row>
    <row r="10" customFormat="false" ht="15" hidden="false" customHeight="false" outlineLevel="0" collapsed="false">
      <c r="A10" s="3" t="s">
        <v>3104</v>
      </c>
      <c r="B10" s="3" t="s">
        <v>25</v>
      </c>
      <c r="C10" s="3" t="s">
        <v>3098</v>
      </c>
    </row>
    <row r="11" customFormat="false" ht="15" hidden="false" customHeight="false" outlineLevel="0" collapsed="false">
      <c r="A11" s="3" t="s">
        <v>3105</v>
      </c>
      <c r="B11" s="3" t="s">
        <v>26</v>
      </c>
      <c r="C11" s="3" t="s">
        <v>3098</v>
      </c>
    </row>
    <row r="12" customFormat="false" ht="15" hidden="false" customHeight="false" outlineLevel="0" collapsed="false">
      <c r="A12" s="3" t="s">
        <v>3106</v>
      </c>
      <c r="B12" s="3" t="s">
        <v>27</v>
      </c>
      <c r="C12" s="3" t="s">
        <v>3098</v>
      </c>
    </row>
    <row r="13" customFormat="false" ht="15" hidden="false" customHeight="false" outlineLevel="0" collapsed="false">
      <c r="A13" s="3" t="s">
        <v>3107</v>
      </c>
      <c r="B13" s="3" t="s">
        <v>28</v>
      </c>
      <c r="C13" s="3" t="s">
        <v>3098</v>
      </c>
    </row>
    <row r="14" customFormat="false" ht="15" hidden="false" customHeight="false" outlineLevel="0" collapsed="false">
      <c r="A14" s="3" t="s">
        <v>3108</v>
      </c>
      <c r="B14" s="3" t="s">
        <v>29</v>
      </c>
      <c r="C14" s="3" t="s">
        <v>3098</v>
      </c>
    </row>
    <row r="15" customFormat="false" ht="15" hidden="false" customHeight="false" outlineLevel="0" collapsed="false">
      <c r="A15" s="3" t="s">
        <v>3109</v>
      </c>
      <c r="B15" s="3" t="s">
        <v>30</v>
      </c>
      <c r="C15" s="3" t="s">
        <v>3098</v>
      </c>
    </row>
    <row r="16" customFormat="false" ht="15" hidden="false" customHeight="false" outlineLevel="0" collapsed="false">
      <c r="A16" s="3" t="s">
        <v>3110</v>
      </c>
      <c r="B16" s="3" t="s">
        <v>31</v>
      </c>
      <c r="C16" s="3" t="s">
        <v>3111</v>
      </c>
    </row>
    <row r="17" customFormat="false" ht="15" hidden="false" customHeight="false" outlineLevel="0" collapsed="false">
      <c r="A17" s="3" t="s">
        <v>3112</v>
      </c>
      <c r="B17" s="3" t="s">
        <v>32</v>
      </c>
      <c r="C17" s="3" t="s">
        <v>3111</v>
      </c>
    </row>
    <row r="18" customFormat="false" ht="15" hidden="false" customHeight="false" outlineLevel="0" collapsed="false">
      <c r="A18" s="3" t="s">
        <v>3113</v>
      </c>
      <c r="B18" s="3" t="s">
        <v>33</v>
      </c>
      <c r="C18" s="3" t="s">
        <v>3114</v>
      </c>
    </row>
    <row r="19" customFormat="false" ht="15" hidden="false" customHeight="false" outlineLevel="0" collapsed="false">
      <c r="A19" s="3" t="s">
        <v>3115</v>
      </c>
      <c r="B19" s="3" t="s">
        <v>34</v>
      </c>
      <c r="C19" s="3" t="s">
        <v>3114</v>
      </c>
    </row>
    <row r="20" customFormat="false" ht="15" hidden="false" customHeight="false" outlineLevel="0" collapsed="false">
      <c r="A20" s="3" t="s">
        <v>3116</v>
      </c>
      <c r="B20" s="3" t="s">
        <v>35</v>
      </c>
      <c r="C20" s="3" t="s">
        <v>3114</v>
      </c>
    </row>
    <row r="21" customFormat="false" ht="15" hidden="false" customHeight="false" outlineLevel="0" collapsed="false">
      <c r="A21" s="3" t="s">
        <v>3117</v>
      </c>
      <c r="B21" s="3" t="s">
        <v>36</v>
      </c>
      <c r="C21" s="3" t="s">
        <v>3114</v>
      </c>
    </row>
    <row r="22" customFormat="false" ht="15" hidden="false" customHeight="false" outlineLevel="0" collapsed="false">
      <c r="A22" s="3" t="s">
        <v>3118</v>
      </c>
      <c r="B22" s="3" t="s">
        <v>37</v>
      </c>
      <c r="C22" s="3" t="s">
        <v>3111</v>
      </c>
    </row>
    <row r="23" customFormat="false" ht="15" hidden="false" customHeight="false" outlineLevel="0" collapsed="false">
      <c r="A23" s="3" t="s">
        <v>3119</v>
      </c>
      <c r="B23" s="3" t="s">
        <v>38</v>
      </c>
      <c r="C23" s="3" t="s">
        <v>3120</v>
      </c>
    </row>
    <row r="24" customFormat="false" ht="15" hidden="false" customHeight="false" outlineLevel="0" collapsed="false">
      <c r="A24" s="3" t="s">
        <v>3121</v>
      </c>
      <c r="B24" s="3" t="s">
        <v>39</v>
      </c>
      <c r="C24" s="3" t="s">
        <v>3114</v>
      </c>
    </row>
    <row r="25" customFormat="false" ht="15" hidden="false" customHeight="false" outlineLevel="0" collapsed="false">
      <c r="A25" s="3" t="s">
        <v>3122</v>
      </c>
      <c r="B25" s="3" t="s">
        <v>40</v>
      </c>
      <c r="C25" s="3" t="s">
        <v>3098</v>
      </c>
    </row>
    <row r="26" customFormat="false" ht="15" hidden="false" customHeight="false" outlineLevel="0" collapsed="false">
      <c r="A26" s="3" t="s">
        <v>3123</v>
      </c>
      <c r="B26" s="3" t="s">
        <v>41</v>
      </c>
      <c r="C26" s="3" t="s">
        <v>3114</v>
      </c>
    </row>
    <row r="27" customFormat="false" ht="15" hidden="false" customHeight="false" outlineLevel="0" collapsed="false">
      <c r="A27" s="3" t="s">
        <v>3124</v>
      </c>
      <c r="B27" s="3" t="s">
        <v>42</v>
      </c>
      <c r="C27" s="3" t="s">
        <v>3125</v>
      </c>
    </row>
    <row r="28" customFormat="false" ht="15" hidden="false" customHeight="false" outlineLevel="0" collapsed="false">
      <c r="A28" s="3" t="s">
        <v>3126</v>
      </c>
      <c r="B28" s="3" t="s">
        <v>43</v>
      </c>
      <c r="C28" s="3" t="s">
        <v>3114</v>
      </c>
    </row>
    <row r="29" customFormat="false" ht="15" hidden="false" customHeight="false" outlineLevel="0" collapsed="false">
      <c r="A29" s="3" t="s">
        <v>3127</v>
      </c>
      <c r="B29" s="3" t="s">
        <v>44</v>
      </c>
      <c r="C29" s="3" t="s">
        <v>3098</v>
      </c>
    </row>
    <row r="30" customFormat="false" ht="15" hidden="false" customHeight="false" outlineLevel="0" collapsed="false">
      <c r="A30" s="3" t="s">
        <v>3128</v>
      </c>
      <c r="B30" s="3" t="s">
        <v>45</v>
      </c>
      <c r="C30" s="3" t="s">
        <v>3098</v>
      </c>
    </row>
    <row r="31" customFormat="false" ht="15" hidden="false" customHeight="false" outlineLevel="0" collapsed="false">
      <c r="A31" s="3" t="s">
        <v>3129</v>
      </c>
      <c r="B31" s="3" t="s">
        <v>46</v>
      </c>
      <c r="C31" s="3" t="s">
        <v>3130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2026-04-15T00:59:23Z</dcterms:created>
  <dc:creator>openpyxl</dc:creator>
  <dc:description/>
  <dc:language>en-US</dc:language>
  <cp:lastModifiedBy/>
  <dcterms:modified xsi:type="dcterms:W3CDTF">2026-04-15T00:59:24Z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